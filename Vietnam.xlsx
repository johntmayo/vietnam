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Ho Chi Minh" sheetId="2" r:id="rId6"/>
    <sheet state="visible" name="Hoi An" sheetId="3" r:id="rId7"/>
    <sheet state="visible" name="Hue" sheetId="4" r:id="rId8"/>
    <sheet state="visible" name="Phong Nha" sheetId="5" r:id="rId9"/>
    <sheet state="visible" name="Ninh Binh" sheetId="6" r:id="rId10"/>
    <sheet state="visible" name="Hanoi" sheetId="7" r:id="rId11"/>
    <sheet state="visible" name="Moneys"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tc={2efa9c27-1c5c-4a3c-a8a8-3cde49d6f636}</author>
    <author>tc={3859bbe4-4ce6-45a4-a970-fc25f0f5f53e}</author>
    <author>tc={fdb71d0a-fd16-4fd5-96a3-08f4cdc60307}</author>
  </authors>
  <commentList>
    <comment authorId="0" ref="E14">
      <text>
        <t xml:space="preserve">Tickets not bought yet.</t>
      </text>
    </comment>
    <comment authorId="1" xr:uid="{2efa9c27-1c5c-4a3c-a8a8-3cde49d6f636}" ref="K3">
      <text>
        <t xml:space="preserve">[Threaded comment]
 Your version of Excel allows you to read this threaded comment; however, any edits to it will get removed if the file is opened in a newer version of Excel. Learn more: https://go.microsoft.com/fwlink/?linkid=870924
Comment:
	exit port
</t>
      </text>
    </comment>
    <comment authorId="2" xr:uid="{3859bbe4-4ce6-45a4-a970-fc25f0f5f53e}" ref="J3">
      <text>
        <t xml:space="preserve">[Threaded comment]
 Your version of Excel allows you to read this threaded comment; however, any edits to it will get removed if the file is opened in a newer version of Excel. Learn more: https://go.microsoft.com/fwlink/?linkid=870924
Comment:
	port of entry
</t>
      </text>
    </comment>
    <comment authorId="3" xr:uid="{fdb71d0a-fd16-4fd5-96a3-08f4cdc60307}" ref="I3">
      <text>
        <t xml:space="preserve">[Threaded comment]
 Your version of Excel allows you to read this threaded comment; however, any edits to it will get removed if the file is opened in a newer version of Excel. Learn more: https://go.microsoft.com/fwlink/?linkid=870924
Comment:
	this is what i used after asking claude back and forth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tc={52445b60-6a21-4a72-b0cc-01c7bfc43c59}</author>
  </authors>
  <commentList>
    <comment authorId="0" xr:uid="{52445b60-6a21-4a72-b0cc-01c7bfc43c59}" ref="A4">
      <text>
        <t xml:space="preserve">[Threaded comment]
 Your version of Excel allows you to read this threaded comment; however, any edits to it will get removed if the file is opened in a newer version of Excel. Learn more: https://go.microsoft.com/fwlink/?linkid=870924
Comment:
	need to see if they have airport transfer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tc={53bb23ab-db7b-4f11-81d7-3376f4661a2c}</author>
  </authors>
  <commentList>
    <comment authorId="0" xr:uid="{53bb23ab-db7b-4f11-81d7-3376f4661a2c}" ref="A2">
      <text>
        <t xml:space="preserve">[Threaded comment]
 Your version of Excel allows you to read this threaded comment; however, any edits to it will get removed if the file is opened in a newer version of Excel. Learn more: https://go.microsoft.com/fwlink/?linkid=870924
Comment:
	let them know if we want a pick up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tc={b3e04758-19b1-4589-b38b-caf68e8a7807}</author>
  </authors>
  <commentList>
    <comment authorId="0" xr:uid="{b3e04758-19b1-4589-b38b-caf68e8a7807}" ref="A11">
      <text>
        <t xml:space="preserve">[Threaded comment]
 Your version of Excel allows you to read this threaded comment; however, any edits to it will get removed if the file is opened in a newer version of Excel. Learn more: https://go.microsoft.com/fwlink/?linkid=870924
Comment:
	@john.t.mayo@gmail.com do you want to figure this out? It would be on the 14th. I think we have to book a boat.
</t>
      </text>
    </comment>
  </commentList>
</comments>
</file>

<file path=xl/sharedStrings.xml><?xml version="1.0" encoding="utf-8"?>
<sst xmlns="http://schemas.openxmlformats.org/spreadsheetml/2006/main" count="234" uniqueCount="198">
  <si>
    <t>DAY</t>
  </si>
  <si>
    <t>LOCATION</t>
  </si>
  <si>
    <t>WAKE UP</t>
  </si>
  <si>
    <t>SLEEP</t>
  </si>
  <si>
    <t>TRAVEL</t>
  </si>
  <si>
    <t>NOTES</t>
  </si>
  <si>
    <t>HOTEL</t>
  </si>
  <si>
    <t>HOTEL ADDRESS</t>
  </si>
  <si>
    <t>depart from LAX- 10:50AM; Booking Reference : E9WTAF Korean Air</t>
  </si>
  <si>
    <t>LA</t>
  </si>
  <si>
    <t>plane</t>
  </si>
  <si>
    <t>Fly (20 hours, 1 stop)</t>
  </si>
  <si>
    <t>Stef e-visa code:E260212USA59547149160</t>
  </si>
  <si>
    <r>
      <rPr>
        <rFont val="Roboto"/>
        <sz val="11.0"/>
      </rPr>
      <t xml:space="preserve">Check in 4 days to see if worked </t>
    </r>
    <r>
      <rPr>
        <rFont val="Roboto"/>
        <color rgb="FF1155CC"/>
        <sz val="11.0"/>
        <u/>
      </rPr>
      <t>https://evisa.gov.vn/e-visa/search</t>
    </r>
  </si>
  <si>
    <t xml:space="preserve">Ho Chi Minh City </t>
  </si>
  <si>
    <t>HCM</t>
  </si>
  <si>
    <t>arrive sat 7, 10:20pm</t>
  </si>
  <si>
    <t>stay in hotel, store luggage, get train food</t>
  </si>
  <si>
    <t>Liberty Central Saigon Riverside Hotel</t>
  </si>
  <si>
    <t>17 Ton Duc Thang, District 1, Ho Chi Minh City, Vietnam</t>
  </si>
  <si>
    <t>Sai Gon Ward</t>
  </si>
  <si>
    <t>Tan Son Nhat International Airport</t>
  </si>
  <si>
    <t>Noi Bai</t>
  </si>
  <si>
    <t>Ho Chi Minh City
8:30pm night train</t>
  </si>
  <si>
    <t>train</t>
  </si>
  <si>
    <t>15-17 hours (overnight)</t>
  </si>
  <si>
    <t>Hoi An</t>
  </si>
  <si>
    <t>Hoi An (via Da Nang train)</t>
  </si>
  <si>
    <t>arrive 1pm tues</t>
  </si>
  <si>
    <t>cooking class?</t>
  </si>
  <si>
    <t xml:space="preserve">Scooter to Hue </t>
  </si>
  <si>
    <t>Hue</t>
  </si>
  <si>
    <t xml:space="preserve">Take bus from Hue-- Phong Nha (for caves &amp; intense nature) </t>
  </si>
  <si>
    <t>Phong Na</t>
  </si>
  <si>
    <t>4 hour bus</t>
  </si>
  <si>
    <t>Phong Nha</t>
  </si>
  <si>
    <t>adventure day</t>
  </si>
  <si>
    <t>Phong Nha, overnight train leaves midnight</t>
  </si>
  <si>
    <t>10 hour train from Phong Nha to Ninh Binh</t>
  </si>
  <si>
    <t>Ninh Binh</t>
  </si>
  <si>
    <t>arrives 9am</t>
  </si>
  <si>
    <t>Ninh Binh &amp; Hanoi</t>
  </si>
  <si>
    <t>Hanoi</t>
  </si>
  <si>
    <t>2 hour train to Hanoi</t>
  </si>
  <si>
    <t>potential to spend another night in Ninh Binh</t>
  </si>
  <si>
    <t>fly out midday- 12:20pm</t>
  </si>
  <si>
    <t>16.5 hours, 1 stop</t>
  </si>
  <si>
    <t>arrive at 10:40 pm</t>
  </si>
  <si>
    <t xml:space="preserve">Stay in District 1 </t>
  </si>
  <si>
    <t>Liberty Central Saigon Hotel</t>
  </si>
  <si>
    <t>Agoda Booking: 966228062</t>
  </si>
  <si>
    <t>To Do:</t>
  </si>
  <si>
    <t>Saigon vegetarian tasting dinners</t>
  </si>
  <si>
    <t xml:space="preserve">Chinatown (District 5)- Thien Hau Temple, Binh Tay Market, herbal medicine street (Hai Thuong Lan Ong) </t>
  </si>
  <si>
    <t>Ride Pillion</t>
  </si>
  <si>
    <t>Mekong Delta eco day trip: small sampan rowing through canals</t>
  </si>
  <si>
    <t>orchard bike ride</t>
  </si>
  <si>
    <t>Walk District 1 (War Remnants Museum, Reunification Palace, Notre Dame Cathedral, Saigon Central Post Office, Nguyen Hue Walking Street, The Opera House, Ben Thanh Market, Café Apartments (quirky cafés stacked in an old building)</t>
  </si>
  <si>
    <t>Book Street (Nguyen Van Binh)</t>
  </si>
  <si>
    <t>Ho Chi Minh City Museum of Fine Arts</t>
  </si>
  <si>
    <t>Tan Dinh Pink Church</t>
  </si>
  <si>
    <t>Textile District 10</t>
  </si>
  <si>
    <t>Cu Chi Tunnels (Half Day)</t>
  </si>
  <si>
    <t>Shopping at Saigon Square or Vincom Mall</t>
  </si>
  <si>
    <t>District 7- Korean influences Crescent Lake &amp; Park</t>
  </si>
  <si>
    <t>Eats: Districts 1&amp;3- good veg food</t>
  </si>
  <si>
    <t>Hum (District 1)</t>
  </si>
  <si>
    <t>High end, refined</t>
  </si>
  <si>
    <t>Pi (District 1)</t>
  </si>
  <si>
    <t>Shamballa (District 1)</t>
  </si>
  <si>
    <t xml:space="preserve">Prem Bistro &amp; Café (District 3) </t>
  </si>
  <si>
    <t>Chay Bia</t>
  </si>
  <si>
    <t>Craft Beer + Vegetarian Food</t>
  </si>
  <si>
    <t xml:space="preserve">Nang Tam </t>
  </si>
  <si>
    <t>for brunch, (traditional Vietnamese vegetarian)</t>
  </si>
  <si>
    <t>Drinks:</t>
  </si>
  <si>
    <t xml:space="preserve">Hotel des Arts rooftop </t>
  </si>
  <si>
    <t>Chill Skybar</t>
  </si>
  <si>
    <t xml:space="preserve">Pasteur Street Brewery </t>
  </si>
  <si>
    <t>beer</t>
  </si>
  <si>
    <t xml:space="preserve">Chay Bia </t>
  </si>
  <si>
    <t>depart on train SE2, 8:30PM arrive 1PM next day</t>
  </si>
  <si>
    <t>Booked: 3B1CAD (Baolau)</t>
  </si>
  <si>
    <t>Violette Train, The Khach Hang</t>
  </si>
  <si>
    <t>Coach 9, Number 1-4</t>
  </si>
  <si>
    <t>E ticket in email/drive</t>
  </si>
  <si>
    <t>30 min early</t>
  </si>
  <si>
    <t>HO CHI MINH - Saigon Railway Station
01 Nguyễn Thông, Phường 9, Quận 3, Hồ Chí Minh</t>
  </si>
  <si>
    <t>Arrive at Da Nang, Zen Boutique Eco will pick up on arrivals platform</t>
  </si>
  <si>
    <t xml:space="preserve">Da Nang is where Shane lived (53 Tan Da, Danang)! A mix of North &amp; South. </t>
  </si>
  <si>
    <t>STAY</t>
  </si>
  <si>
    <t>Zen Boutique Eco</t>
  </si>
  <si>
    <t>87 Ly Thuong Kiet, Cam Chau, Hoi An, Vietnam</t>
  </si>
  <si>
    <t>booked for night of 10 &amp; 11</t>
  </si>
  <si>
    <t>phone +84 90 673 71 45</t>
  </si>
  <si>
    <t>Booking: Confirmation: 5331628842
PIN: 6633 (Confidential)</t>
  </si>
  <si>
    <t>TO DO:</t>
  </si>
  <si>
    <t>Scooter ride - countryside loop</t>
  </si>
  <si>
    <t xml:space="preserve">can do by self. easiest &amp; calmest (rice paddies, water buffalo, tiny lanes) </t>
  </si>
  <si>
    <t>scooter ride to Hai Van Pass</t>
  </si>
  <si>
    <t>dramatic ocean cliffs between Hue &amp; Da Nang, 90 min should get a guide, sketchy</t>
  </si>
  <si>
    <t>$45-80/pp</t>
  </si>
  <si>
    <t>MotorVina Travel or Hue Riders / Original Easy Riders</t>
  </si>
  <si>
    <t xml:space="preserve">Countryside Bicycle Ride </t>
  </si>
  <si>
    <t>Sunrise or late afternoon (see Water buffalo, small farms, vegetable gardens, Rice Paddies + Tra Que Village)</t>
  </si>
  <si>
    <t>vegetarian cooking class</t>
  </si>
  <si>
    <t>could do one with a boat ride and market visit</t>
  </si>
  <si>
    <t>An Bang Beach at Sunset</t>
  </si>
  <si>
    <t>Buy linen clothes</t>
  </si>
  <si>
    <t>Hidden Alley coffee shops</t>
  </si>
  <si>
    <t>Old Town at Night (Lantern Walk)</t>
  </si>
  <si>
    <t>Walk from the Japanese Bridge to the riverfront</t>
  </si>
  <si>
    <t>Some history of hoi an show that happens at night</t>
  </si>
  <si>
    <t>EAT: (Vegetarian capital of Vietnam)</t>
  </si>
  <si>
    <t>Chay Dam – Vegetarian Restaurant (Dam Tra Que)</t>
  </si>
  <si>
    <t>Farm to table, beautiful garden setting in Tra Que Vegetable Village</t>
  </si>
  <si>
    <t>Annen Vegetarian &amp; Yoga</t>
  </si>
  <si>
    <t>Zen aesthetic, yoga classes + vegetarian café</t>
  </si>
  <si>
    <t>Nourish Eatery</t>
  </si>
  <si>
    <t>International + Vietnamese fusion, brunch/lunch spot</t>
  </si>
  <si>
    <t>CHAY – Hoi An Vegan Restaurant</t>
  </si>
  <si>
    <t>Most fine dining in town, Upscale, beautifully plated vegan Vietnamese dishes</t>
  </si>
  <si>
    <t>Take scooter to Hue 9AM on 3/12- pickup at hotel</t>
  </si>
  <si>
    <t xml:space="preserve"> Easy Rider From Hue Da Nang Hoi An Via Hai Van Pass With Mister T
Mar 12, 2026 • 9:00 AM
 x 2 adults
Reference #: 1365980523. through TripAdvisor</t>
  </si>
  <si>
    <t>Arrive via scooter around 4/5pm</t>
  </si>
  <si>
    <t>Stay at Pisces Hotel Hue</t>
  </si>
  <si>
    <t>Booking Number:
6038803088</t>
  </si>
  <si>
    <t>whatsapp+84 7623 55 999</t>
  </si>
  <si>
    <t xml:space="preserve">6/4 kiet 7 Nguyễn Công Trứ tổ 13, phường phú hội, Tp. Huế, Hue, Vietnam
</t>
  </si>
  <si>
    <t xml:space="preserve">HK Buslines From 35 Nguyen Cong Tru, Hue (2 blocks from hotel)
</t>
  </si>
  <si>
    <t>leave 9am, be 30 min early</t>
  </si>
  <si>
    <t>E-ticket in folder &amp; email</t>
  </si>
  <si>
    <r>
      <rPr>
        <rFont val="&quot;Google Sans&quot;, Roboto, RobotoDraft, Helvetica, Arial, sans-serif"/>
        <color rgb="FF000000"/>
      </rPr>
      <t>12go.asia</t>
    </r>
    <r>
      <rPr>
        <rFont val="&quot;Google Sans&quot;, Roboto, RobotoDraft, Helvetica, Arial, sans-serif"/>
        <color rgb="FF1F1F1F"/>
      </rPr>
      <t xml:space="preserve"> Booking confirmation #12GO27634922</t>
    </r>
  </si>
  <si>
    <t>to Central Backpackers Hostel Phong Nha 12GO27634922</t>
  </si>
  <si>
    <t>arrive 12:30</t>
  </si>
  <si>
    <t>PHONG NHA (Quảng Bình Province)</t>
  </si>
  <si>
    <t>arrive by bus</t>
  </si>
  <si>
    <t>0.75 mile walk into town from bus drop off to hotel:</t>
  </si>
  <si>
    <t>Staying at Phong Nha Coco Riverside</t>
  </si>
  <si>
    <t>Phong Nha Coco Riverside Team</t>
  </si>
  <si>
    <t>- Whatsapp number: +84(0)365023363/0886686982</t>
  </si>
  <si>
    <r>
      <t xml:space="preserve">- Email: </t>
    </r>
    <r>
      <rPr>
        <rFont val="&quot;system-ui&quot;, -apple-system, &quot;Segoe UI&quot;, Roboto, Helvetica, Arial, sans-serif"/>
        <color rgb="FF1155CC"/>
        <sz val="12.0"/>
        <u/>
      </rPr>
      <t>phongnhacocoriverside@gmail.</t>
    </r>
    <r>
      <rPr>
        <rFont val="&quot;system-ui&quot;, -apple-system, &quot;Segoe UI&quot;, Roboto, Helvetica, Arial, sans-serif"/>
        <color rgb="FF000000"/>
        <sz val="12.0"/>
      </rPr>
      <t>com</t>
    </r>
  </si>
  <si>
    <t>Things to do:</t>
  </si>
  <si>
    <t>World-famous caves (Paradise Cave, Dark Caves, Phong Nha Cave by boat)</t>
  </si>
  <si>
    <t>Great eco-lodges (mountain villas, riverside retreats)</t>
  </si>
  <si>
    <t>Best for: hiking, caves, nature photographers, silence</t>
  </si>
  <si>
    <t>Phong Nha-Kẻ Bàng National Park</t>
  </si>
  <si>
    <t>Eats:</t>
  </si>
  <si>
    <t>The Pub with Cold Beer - a whole experience, can swim there and float- leave about 4 hours</t>
  </si>
  <si>
    <t>LEAVING</t>
  </si>
  <si>
    <t>Departs Dong Hoi station at midnight arrives Ninh Binh 9:04am, be 30 min early (12:10 departure)</t>
  </si>
  <si>
    <t>Tickets purchased - Confirmation through Baolau- F745F4</t>
  </si>
  <si>
    <t>Coach 8, seats 1 &amp; 2</t>
  </si>
  <si>
    <t>Tickets in email/drive</t>
  </si>
  <si>
    <t xml:space="preserve">NINH BÌNH (Tam Cốc / Trang An) </t>
  </si>
  <si>
    <t>Stay:</t>
  </si>
  <si>
    <t>Tam Cốc Garden-style ecolodges (boutique, tranquil, rice fields)</t>
  </si>
  <si>
    <t>Trang An valley homestays with bungalows</t>
  </si>
  <si>
    <t>To do:</t>
  </si>
  <si>
    <t xml:space="preserve">Row to Trang An </t>
  </si>
  <si>
    <t>quieter, dramatic caves, UNESCO-protected</t>
  </si>
  <si>
    <r>
      <rPr>
        <sz val="12.0"/>
      </rPr>
      <t xml:space="preserve">7-9am ideal time, buy ticket at Trang An wharf- will be pared with a boat and 2 other people. 3 hours long (get before 10am) </t>
    </r>
    <r>
      <rPr>
        <color rgb="FF1155CC"/>
        <sz val="12.0"/>
        <u/>
      </rPr>
      <t>https://muave.disantrangan.vn/home/en.</t>
    </r>
    <r>
      <rPr>
        <sz val="12.0"/>
      </rPr>
      <t xml:space="preserve"> People say route 3 with the Dot cave and steps is the best one (though skull island is hokey) or route 2 is the middle, balanced tour</t>
    </r>
  </si>
  <si>
    <t>sunset at Mua Cave viewpoint</t>
  </si>
  <si>
    <t>bike ride in village</t>
  </si>
  <si>
    <t>To dos:</t>
  </si>
  <si>
    <t>Buy baskets, silk, etc from markets</t>
  </si>
  <si>
    <t>Museum</t>
  </si>
  <si>
    <t>Parks</t>
  </si>
  <si>
    <t>Long Bien Bridge</t>
  </si>
  <si>
    <t>Old Quarter (Sword Lake, Bach Ma Temple, Memorial House, food tour)</t>
  </si>
  <si>
    <t>Cooking class</t>
  </si>
  <si>
    <t>Ho Chi Minh Memorial Complex (mausoleum,house on stilts, one pillar pagoda, Temple of literature)</t>
  </si>
  <si>
    <t>Opera House</t>
  </si>
  <si>
    <t>St. Joseph's Cathedral</t>
  </si>
  <si>
    <t>Hanoi Train Street (can get an egg coffee and wait for the train)</t>
  </si>
  <si>
    <t>Governor's Palace/Presidential Palace</t>
  </si>
  <si>
    <t>Hoan Kiem Lake</t>
  </si>
  <si>
    <t>Thang Long Water Puppet Theatre</t>
  </si>
  <si>
    <t>book before</t>
  </si>
  <si>
    <t>Sit and have a beer and watch the train roll thru</t>
  </si>
  <si>
    <t>Downtown Hanoi</t>
  </si>
  <si>
    <t>Imperial Citadel</t>
  </si>
  <si>
    <t>West Lake (Tran Quoc pagoda, Quan Thanh Temple, Tran Quoc Temple)</t>
  </si>
  <si>
    <t>Women's museum (?)</t>
  </si>
  <si>
    <t>EAT:</t>
  </si>
  <si>
    <t>Famous for egg coffee</t>
  </si>
  <si>
    <t>Giang Cafe (supposed to be the best)</t>
  </si>
  <si>
    <t>bia hơi corner (the intersection between Ta Hien and Luong Ngoc Quyen)</t>
  </si>
  <si>
    <t>street food vendors</t>
  </si>
  <si>
    <t>Bahn Mi 25</t>
  </si>
  <si>
    <t>Dong Xuan Market</t>
  </si>
  <si>
    <r>
      <rPr/>
      <t xml:space="preserve">Use </t>
    </r>
    <r>
      <rPr>
        <color rgb="FF1155CC"/>
        <u/>
      </rPr>
      <t>https://www.grab.com/--</t>
    </r>
    <r>
      <rPr/>
      <t xml:space="preserve"> uber to get around</t>
    </r>
  </si>
  <si>
    <t>reimburse stef</t>
  </si>
  <si>
    <t>trains</t>
  </si>
  <si>
    <t>bus</t>
  </si>
  <si>
    <t>hotel</t>
  </si>
  <si>
    <t>john flight</t>
  </si>
  <si>
    <t>scooter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</si>
</sst>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dd, mmmm d"/>
    <numFmt numFmtId="165" formatCode="&quot;$&quot;#,##0"/>
  </numFmts>
  <fonts count="31">
    <font>
      <sz val="10.0"/>
      <color rgb="FF000000"/>
      <name val="Arial"/>
      <scheme val="minor"/>
    </font>
    <font>
      <b/>
      <sz val="11.0"/>
      <color theme="1"/>
      <name val="Roboto"/>
    </font>
    <font>
      <sz val="11.0"/>
      <color theme="1"/>
      <name val="Arial"/>
      <scheme val="minor"/>
    </font>
    <font>
      <sz val="11.0"/>
      <color theme="1"/>
      <name val="Roboto"/>
    </font>
    <font>
      <sz val="12.0"/>
      <color rgb="FF000000"/>
      <name val="&quot;Be Vietnam Pro&quot;"/>
    </font>
    <font>
      <u/>
      <sz val="11.0"/>
      <color rgb="FF0000FF"/>
      <name val="Roboto"/>
    </font>
    <font>
      <color theme="1"/>
      <name val="Arial"/>
      <scheme val="minor"/>
    </font>
    <font>
      <b/>
      <sz val="12.0"/>
      <color theme="1"/>
      <name val="Arial"/>
    </font>
    <font>
      <sz val="12.0"/>
      <color theme="1"/>
      <name val="Arial"/>
    </font>
    <font>
      <b/>
      <sz val="11.0"/>
      <color theme="1"/>
      <name val="Arial"/>
    </font>
    <font>
      <sz val="11.0"/>
      <color theme="1"/>
      <name val="Arial"/>
    </font>
    <font>
      <sz val="11.0"/>
      <color rgb="FF1A1A1A"/>
      <name val="Arial"/>
    </font>
    <font>
      <sz val="11.0"/>
      <color rgb="FF252C38"/>
      <name val="Arial"/>
    </font>
    <font>
      <sz val="11.0"/>
      <color rgb="FF333333"/>
      <name val="&quot;system-ui&quot;"/>
    </font>
    <font>
      <color rgb="FF252C38"/>
      <name val="&quot;system-ui&quot;"/>
    </font>
    <font>
      <sz val="10.0"/>
      <color theme="1"/>
      <name val="Arial"/>
    </font>
    <font>
      <sz val="12.0"/>
      <color rgb="FF000000"/>
      <name val="Arial"/>
    </font>
    <font>
      <sz val="9.0"/>
      <color rgb="FF49525B"/>
      <name val="Arial"/>
    </font>
    <font>
      <b/>
      <color theme="1"/>
      <name val="Arial"/>
      <scheme val="minor"/>
    </font>
    <font>
      <sz val="11.0"/>
      <color rgb="FF1A1A1A"/>
      <name val="&quot;system-ui&quot;"/>
    </font>
    <font>
      <b/>
      <sz val="11.0"/>
      <color theme="1"/>
      <name val="Arial"/>
      <scheme val="minor"/>
    </font>
    <font>
      <sz val="11.0"/>
      <color rgb="FF202124"/>
      <name val="&quot;Google Sans&quot;"/>
    </font>
    <font>
      <color rgb="FF1F1F1F"/>
      <name val="&quot;Google Sans&quot;"/>
    </font>
    <font>
      <sz val="0.0"/>
      <color rgb="FF222222"/>
      <name val="&quot;Google Sans&quot;"/>
    </font>
    <font>
      <sz val="12.0"/>
      <color theme="1"/>
      <name val="Arial"/>
      <scheme val="minor"/>
    </font>
    <font>
      <b/>
      <sz val="10.0"/>
      <color rgb="FF333333"/>
      <name val="Arial"/>
    </font>
    <font>
      <sz val="12.0"/>
      <color rgb="FF000000"/>
      <name val="&quot;system-ui&quot;"/>
    </font>
    <font>
      <u/>
      <sz val="12.0"/>
      <color rgb="FF000000"/>
      <name val="&quot;system-ui&quot;"/>
    </font>
    <font>
      <b/>
      <sz val="12.0"/>
      <color theme="1"/>
      <name val="Arial"/>
      <scheme val="minor"/>
    </font>
    <font>
      <u/>
      <sz val="12.0"/>
      <color rgb="FF0000FF"/>
    </font>
    <font>
      <u/>
      <color rgb="FF0000FF"/>
    </font>
  </fonts>
  <fills count="7">
    <fill>
      <patternFill patternType="none"/>
    </fill>
    <fill>
      <patternFill patternType="lightGray"/>
    </fill>
    <fill>
      <patternFill patternType="solid">
        <fgColor rgb="FFB6D7A8"/>
        <bgColor rgb="FFB6D7A8"/>
      </patternFill>
    </fill>
    <fill>
      <patternFill patternType="solid">
        <fgColor rgb="FFEAD1DC"/>
        <bgColor rgb="FFEAD1DC"/>
      </patternFill>
    </fill>
    <fill>
      <patternFill patternType="solid">
        <fgColor rgb="FFF6B26B"/>
        <bgColor rgb="FFF6B26B"/>
      </patternFill>
    </fill>
    <fill>
      <patternFill patternType="solid">
        <fgColor rgb="FFFFFFFF"/>
        <bgColor rgb="FFFFFFFF"/>
      </patternFill>
    </fill>
    <fill>
      <patternFill patternType="solid">
        <fgColor rgb="FFE6E6E6"/>
        <bgColor rgb="FFE6E6E6"/>
      </patternFill>
    </fill>
  </fills>
  <borders count="1">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vertical="top"/>
    </xf>
    <xf borderId="0" fillId="0" fontId="3" numFmtId="164" xfId="0" applyAlignment="1" applyFont="1" applyNumberFormat="1">
      <alignment horizontal="lef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wrapText="1"/>
    </xf>
    <xf borderId="0" fillId="0" fontId="5" numFmtId="0" xfId="0" applyAlignment="1" applyFont="1">
      <alignment readingOrder="0" shrinkToFit="0" vertical="top" wrapText="1"/>
    </xf>
    <xf borderId="0" fillId="0" fontId="6" numFmtId="0" xfId="0" applyAlignment="1" applyFont="1">
      <alignment shrinkToFit="0" wrapText="1"/>
    </xf>
    <xf borderId="0" fillId="0" fontId="3" numFmtId="0" xfId="0" applyAlignment="1" applyFont="1">
      <alignment readingOrder="0" shrinkToFit="0" wrapText="1"/>
    </xf>
    <xf borderId="0" fillId="0" fontId="6" numFmtId="0" xfId="0" applyAlignment="1" applyFont="1">
      <alignment readingOrder="0" shrinkToFit="0" wrapText="1"/>
    </xf>
    <xf borderId="0" fillId="0" fontId="2" numFmtId="0" xfId="0" applyAlignment="1" applyFont="1">
      <alignment readingOrder="0" shrinkToFit="0" vertical="top" wrapText="1"/>
    </xf>
    <xf borderId="0" fillId="2" fontId="3" numFmtId="0" xfId="0" applyAlignment="1" applyFill="1" applyFont="1">
      <alignment readingOrder="0" shrinkToFit="0" vertical="top" wrapText="1"/>
    </xf>
    <xf borderId="0" fillId="0" fontId="3" numFmtId="0" xfId="0" applyAlignment="1" applyFont="1">
      <alignment shrinkToFit="0" vertical="top" wrapText="1"/>
    </xf>
    <xf borderId="0" fillId="0" fontId="3" numFmtId="0" xfId="0" applyAlignment="1" applyFont="1">
      <alignment shrinkToFit="0" wrapText="1"/>
    </xf>
    <xf borderId="0" fillId="3" fontId="3" numFmtId="0" xfId="0" applyAlignment="1" applyFill="1" applyFont="1">
      <alignment readingOrder="0" shrinkToFit="0" vertical="top" wrapText="1"/>
    </xf>
    <xf borderId="0" fillId="4" fontId="3" numFmtId="0" xfId="0" applyAlignment="1" applyFill="1" applyFont="1">
      <alignment readingOrder="0" shrinkToFit="0" vertical="top" wrapText="1"/>
    </xf>
    <xf borderId="0" fillId="0" fontId="2" numFmtId="0" xfId="0" applyAlignment="1" applyFont="1">
      <alignment readingOrder="0" vertical="top"/>
    </xf>
    <xf borderId="0" fillId="2" fontId="7" numFmtId="0" xfId="0" applyAlignment="1" applyFont="1">
      <alignment readingOrder="0" shrinkToFit="0" wrapText="1"/>
    </xf>
    <xf borderId="0" fillId="0" fontId="8" numFmtId="0" xfId="0" applyAlignment="1" applyFont="1">
      <alignment readingOrder="0" shrinkToFit="0" wrapText="1"/>
    </xf>
    <xf borderId="0" fillId="0" fontId="8" numFmtId="0" xfId="0" applyAlignment="1" applyFont="1">
      <alignment shrinkToFit="0" wrapText="1"/>
    </xf>
    <xf borderId="0" fillId="0" fontId="7" numFmtId="0" xfId="0" applyAlignment="1" applyFont="1">
      <alignment readingOrder="0" shrinkToFit="0" wrapText="1"/>
    </xf>
    <xf borderId="0" fillId="2" fontId="9" numFmtId="0" xfId="0" applyAlignment="1" applyFont="1">
      <alignment readingOrder="0" shrinkToFit="0" wrapText="1"/>
    </xf>
    <xf borderId="0" fillId="0" fontId="10" numFmtId="0" xfId="0" applyAlignment="1" applyFont="1">
      <alignment shrinkToFit="0" wrapText="1"/>
    </xf>
    <xf borderId="0" fillId="0" fontId="11" numFmtId="0" xfId="0" applyAlignment="1" applyFont="1">
      <alignment readingOrder="0"/>
    </xf>
    <xf borderId="0" fillId="0" fontId="12" numFmtId="0" xfId="0" applyAlignment="1" applyFont="1">
      <alignment readingOrder="0"/>
    </xf>
    <xf borderId="0" fillId="0" fontId="6" numFmtId="165" xfId="0" applyAlignment="1" applyFont="1" applyNumberFormat="1">
      <alignment readingOrder="0"/>
    </xf>
    <xf borderId="0" fillId="0" fontId="10" numFmtId="0" xfId="0" applyAlignment="1" applyFont="1">
      <alignment readingOrder="0" shrinkToFit="0" wrapText="1"/>
    </xf>
    <xf borderId="0" fillId="0" fontId="13" numFmtId="0" xfId="0" applyFont="1"/>
    <xf borderId="0" fillId="0" fontId="10" numFmtId="165" xfId="0" applyAlignment="1" applyFont="1" applyNumberFormat="1">
      <alignment readingOrder="0" shrinkToFit="0" wrapText="1"/>
    </xf>
    <xf borderId="0" fillId="0" fontId="14" numFmtId="0" xfId="0" applyAlignment="1" applyFont="1">
      <alignment readingOrder="0"/>
    </xf>
    <xf borderId="0" fillId="0" fontId="15" numFmtId="0" xfId="0" applyAlignment="1" applyFont="1">
      <alignment readingOrder="0" shrinkToFit="0" wrapText="1"/>
    </xf>
    <xf borderId="0" fillId="2" fontId="8" numFmtId="0" xfId="0" applyAlignment="1" applyFont="1">
      <alignment readingOrder="0" shrinkToFit="0" wrapText="1"/>
    </xf>
    <xf borderId="0" fillId="0" fontId="16" numFmtId="0" xfId="0" applyAlignment="1" applyFont="1">
      <alignment readingOrder="0" shrinkToFit="0" wrapText="1"/>
    </xf>
    <xf borderId="0" fillId="5" fontId="17" numFmtId="0" xfId="0" applyAlignment="1" applyFill="1" applyFont="1">
      <alignment horizontal="left" readingOrder="0"/>
    </xf>
    <xf borderId="0" fillId="2" fontId="2" numFmtId="0" xfId="0" applyAlignment="1" applyFont="1">
      <alignment readingOrder="0" shrinkToFit="0" wrapText="1"/>
    </xf>
    <xf borderId="0" fillId="0" fontId="2" numFmtId="0" xfId="0" applyAlignment="1" applyFont="1">
      <alignment readingOrder="0" shrinkToFit="0" wrapText="1"/>
    </xf>
    <xf borderId="0" fillId="0" fontId="2" numFmtId="165" xfId="0" applyAlignment="1" applyFont="1" applyNumberFormat="1">
      <alignment readingOrder="0" shrinkToFit="0" wrapText="1"/>
    </xf>
    <xf borderId="0" fillId="0" fontId="2" numFmtId="0" xfId="0" applyAlignment="1" applyFont="1">
      <alignment shrinkToFit="0" wrapText="1"/>
    </xf>
    <xf borderId="0" fillId="0" fontId="18" numFmtId="0" xfId="0" applyAlignment="1" applyFont="1">
      <alignment readingOrder="0" shrinkToFit="0" wrapText="1"/>
    </xf>
    <xf borderId="0" fillId="2" fontId="18" numFmtId="0" xfId="0" applyAlignment="1" applyFont="1">
      <alignment readingOrder="0" shrinkToFit="0" wrapText="1"/>
    </xf>
    <xf borderId="0" fillId="5" fontId="19" numFmtId="0" xfId="0" applyAlignment="1" applyFont="1">
      <alignment readingOrder="0"/>
    </xf>
    <xf borderId="0" fillId="0" fontId="10" numFmtId="0" xfId="0" applyAlignment="1" applyFont="1">
      <alignment horizontal="left" readingOrder="0" vertical="top"/>
    </xf>
    <xf borderId="0" fillId="2" fontId="20" numFmtId="0" xfId="0" applyAlignment="1" applyFont="1">
      <alignment readingOrder="0" shrinkToFit="0" wrapText="1"/>
    </xf>
    <xf borderId="0" fillId="0" fontId="6" numFmtId="0" xfId="0" applyAlignment="1" applyFont="1">
      <alignment readingOrder="0"/>
    </xf>
    <xf borderId="0" fillId="0" fontId="20" numFmtId="0" xfId="0" applyAlignment="1" applyFont="1">
      <alignment readingOrder="0" shrinkToFit="0" wrapText="1"/>
    </xf>
    <xf borderId="0" fillId="0" fontId="16" numFmtId="0" xfId="0" applyAlignment="1" applyFont="1">
      <alignment horizontal="left" readingOrder="0"/>
    </xf>
    <xf borderId="0" fillId="0" fontId="16" numFmtId="0" xfId="0" applyAlignment="1" applyFont="1">
      <alignment readingOrder="0"/>
    </xf>
    <xf borderId="0" fillId="5" fontId="21" numFmtId="0" xfId="0" applyFont="1"/>
    <xf borderId="0" fillId="2" fontId="6" numFmtId="0" xfId="0" applyAlignment="1" applyFont="1">
      <alignment readingOrder="0"/>
    </xf>
    <xf borderId="0" fillId="5" fontId="22" numFmtId="0" xfId="0" applyAlignment="1" applyFont="1">
      <alignment readingOrder="0" shrinkToFit="0" wrapText="1"/>
    </xf>
    <xf borderId="0" fillId="5" fontId="23" numFmtId="0" xfId="0" applyAlignment="1" applyFont="1">
      <alignment shrinkToFit="0" vertical="bottom" wrapText="1"/>
    </xf>
    <xf borderId="0" fillId="0" fontId="24" numFmtId="0" xfId="0" applyAlignment="1" applyFont="1">
      <alignment readingOrder="0"/>
    </xf>
    <xf borderId="0" fillId="5" fontId="25" numFmtId="0" xfId="0" applyAlignment="1" applyFont="1">
      <alignment horizontal="left" readingOrder="0"/>
    </xf>
    <xf borderId="0" fillId="6" fontId="26" numFmtId="0" xfId="0" applyAlignment="1" applyFill="1" applyFont="1">
      <alignment readingOrder="0"/>
    </xf>
    <xf borderId="0" fillId="6" fontId="27" numFmtId="0" xfId="0" applyAlignment="1" applyFont="1">
      <alignment readingOrder="0"/>
    </xf>
    <xf borderId="0" fillId="0" fontId="28" numFmtId="0" xfId="0" applyAlignment="1" applyFont="1">
      <alignment readingOrder="0"/>
    </xf>
    <xf borderId="0" fillId="4" fontId="24" numFmtId="0" xfId="0" applyAlignment="1" applyFont="1">
      <alignment readingOrder="0"/>
    </xf>
    <xf borderId="0" fillId="0" fontId="18" numFmtId="0" xfId="0" applyAlignment="1" applyFont="1">
      <alignment readingOrder="0"/>
    </xf>
    <xf borderId="0" fillId="0" fontId="28" numFmtId="0" xfId="0" applyAlignment="1" applyFont="1">
      <alignment readingOrder="0" shrinkToFit="0" wrapText="1"/>
    </xf>
    <xf borderId="0" fillId="0" fontId="24" numFmtId="0" xfId="0" applyAlignment="1" applyFont="1">
      <alignment shrinkToFit="0" wrapText="1"/>
    </xf>
    <xf borderId="0" fillId="0" fontId="24" numFmtId="0" xfId="0" applyAlignment="1" applyFont="1">
      <alignment readingOrder="0" shrinkToFit="0" wrapText="1"/>
    </xf>
    <xf borderId="0" fillId="0" fontId="29" numFmtId="0" xfId="0" applyAlignment="1" applyFont="1">
      <alignment readingOrder="0" shrinkToFit="0" wrapText="1"/>
    </xf>
    <xf borderId="0" fillId="0" fontId="18" numFmtId="0" xfId="0" applyAlignment="1" applyFont="1">
      <alignment readingOrder="0" shrinkToFit="0" textRotation="0" wrapText="1"/>
    </xf>
    <xf borderId="0" fillId="0" fontId="6" numFmtId="0" xfId="0" applyAlignment="1" applyFont="1">
      <alignment shrinkToFit="0" textRotation="0" wrapText="1"/>
    </xf>
    <xf borderId="0" fillId="0" fontId="6" numFmtId="0" xfId="0" applyAlignment="1" applyFont="1">
      <alignment readingOrder="0" shrinkToFit="0" textRotation="0" wrapText="1"/>
    </xf>
    <xf borderId="0" fillId="0" fontId="30" numFmtId="0" xfId="0" applyAlignment="1" applyFont="1">
      <alignment readingOrder="0" shrinkToFit="0" textRotation="0"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tefanie Lynch" id="{a3c65090-76e7-4832-bc5d-bd514dbf1725}" providerId="google-sheets"/>
  <x18tc:person displayName="john.t.mayo@gmail.com" id="{0c3691af-93d6-45bf-b3c3-9577f27835ce}" userId="john.t.mayo@gmail.com" providerId="google-sheets"/>
  <x18tc:person displayName="John Mayo" id="{0374a855-820e-40f0-b30f-1285a3f4eaa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3" dT="2026-02-11T22:51:13.00" personId="{0374a855-820e-40f0-b30f-1285a3f4eaab}" id="{2efa9c27-1c5c-4a3c-a8a8-3cde49d6f636}" done="0">
    <x18tc:text xml:space="preserve">exit port</x18tc:text>
  </x18tc:threadedComment>
  <x18tc:threadedComment ref="J3" dT="2026-02-11T22:50:06.00" personId="{0374a855-820e-40f0-b30f-1285a3f4eaab}" id="{3859bbe4-4ce6-45a4-a970-fc25f0f5f53e}" done="0">
    <x18tc:text xml:space="preserve">port of entry</x18tc:text>
  </x18tc:threadedComment>
  <x18tc:threadedComment ref="I3" dT="2026-02-11T22:48:50.00" personId="{0374a855-820e-40f0-b30f-1285a3f4eaab}" id="{fdb71d0a-fd16-4fd5-96a3-08f4cdc60307}" done="0">
    <x18tc:text xml:space="preserve">this is what i used after asking claude back and forth</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6-02-11T20:50:21.00" personId="{a3c65090-76e7-4832-bc5d-bd514dbf1725}" id="{52445b60-6a21-4a72-b0cc-01c7bfc43c59}" done="0">
    <x18tc:text xml:space="preserve">need to see if they have airport transfer</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2-11T20:21:35.00" personId="{a3c65090-76e7-4832-bc5d-bd514dbf1725}" id="{53bb23ab-db7b-4f11-81d7-3376f4661a2c}" done="1">
    <x18tc:text xml:space="preserve">let them know if we want a pick up</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1" dT="2026-02-17T23:53:29.00" personId="{a3c65090-76e7-4832-bc5d-bd514dbf1725}" id="{b3e04758-19b1-4589-b38b-caf68e8a7807}" done="0">
    <x18tc:text xml:space="preserve">@john.t.mayo@gmail.com do you want to figure this out? It would be on the 14th. I think we have to book a boat.</x18tc:text>
    <x18tc:mentions>
      <x18tc:mention mentionpersonId="{0c3691af-93d6-45bf-b3c3-9577f27835ce}" mentionId="{70991d06-6d8d-48a2-865b-3aeda740def8}" startIndex="0" length="22"/>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evisa.gov.vn/e-visa/search"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mailto:phongnhacocoriverside@gmail.com" TargetMode="External"/><Relationship Id="rId5" Type="http://schemas.openxmlformats.org/officeDocument/2006/relationships/drawing" Target="../drawings/drawing5.xml"/><Relationship Id="rId6"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hyperlink" Target="https://muave.disantrangan.vn/home/en."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grab.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52.88"/>
    <col customWidth="1" min="3" max="3" width="10.38"/>
    <col customWidth="1" min="4" max="4" width="10.25"/>
    <col customWidth="1" min="5" max="5" width="22.25"/>
    <col customWidth="1" min="6" max="6" width="33.63"/>
    <col customWidth="1" min="7" max="7" width="31.63"/>
  </cols>
  <sheetData>
    <row r="1">
      <c r="A1" s="1" t="s">
        <v>0</v>
      </c>
      <c r="B1" s="1" t="s">
        <v>1</v>
      </c>
      <c r="C1" s="1" t="s">
        <v>2</v>
      </c>
      <c r="D1" s="1" t="s">
        <v>3</v>
      </c>
      <c r="E1" s="1" t="s">
        <v>4</v>
      </c>
      <c r="F1" s="1" t="s">
        <v>5</v>
      </c>
      <c r="G1" s="1" t="s">
        <v>6</v>
      </c>
      <c r="H1" s="1" t="s">
        <v>7</v>
      </c>
      <c r="I1" s="2"/>
      <c r="J1" s="2"/>
      <c r="K1" s="2"/>
      <c r="L1" s="3"/>
      <c r="M1" s="3"/>
      <c r="N1" s="3"/>
      <c r="O1" s="3"/>
      <c r="P1" s="3"/>
      <c r="Q1" s="3"/>
      <c r="R1" s="3"/>
      <c r="S1" s="3"/>
      <c r="T1" s="3"/>
      <c r="U1" s="3"/>
      <c r="V1" s="3"/>
      <c r="W1" s="3"/>
      <c r="X1" s="3"/>
      <c r="Y1" s="3"/>
      <c r="Z1" s="3"/>
      <c r="AA1" s="3"/>
      <c r="AB1" s="3"/>
      <c r="AC1" s="3"/>
    </row>
    <row r="2">
      <c r="A2" s="4">
        <v>46087.0</v>
      </c>
      <c r="B2" s="5" t="s">
        <v>8</v>
      </c>
      <c r="C2" s="5" t="s">
        <v>9</v>
      </c>
      <c r="D2" s="5" t="s">
        <v>10</v>
      </c>
      <c r="E2" s="5" t="s">
        <v>11</v>
      </c>
      <c r="F2" s="6" t="s">
        <v>12</v>
      </c>
      <c r="G2" s="7" t="s">
        <v>13</v>
      </c>
      <c r="H2" s="8"/>
      <c r="I2" s="2"/>
      <c r="J2" s="2"/>
      <c r="K2" s="2"/>
      <c r="L2" s="3"/>
      <c r="M2" s="3"/>
      <c r="N2" s="3"/>
      <c r="O2" s="3"/>
      <c r="P2" s="3"/>
      <c r="Q2" s="3"/>
      <c r="R2" s="3"/>
      <c r="S2" s="3"/>
      <c r="T2" s="3"/>
      <c r="U2" s="3"/>
      <c r="V2" s="3"/>
      <c r="W2" s="3"/>
      <c r="X2" s="3"/>
      <c r="Y2" s="3"/>
      <c r="Z2" s="3"/>
      <c r="AA2" s="3"/>
      <c r="AB2" s="3"/>
      <c r="AC2" s="3"/>
    </row>
    <row r="3">
      <c r="A3" s="4">
        <v>46088.0</v>
      </c>
      <c r="B3" s="9" t="s">
        <v>14</v>
      </c>
      <c r="C3" s="5" t="s">
        <v>10</v>
      </c>
      <c r="D3" s="5" t="s">
        <v>15</v>
      </c>
      <c r="E3" s="5" t="s">
        <v>16</v>
      </c>
      <c r="F3" s="5" t="s">
        <v>17</v>
      </c>
      <c r="G3" s="5" t="s">
        <v>18</v>
      </c>
      <c r="H3" s="10" t="s">
        <v>19</v>
      </c>
      <c r="I3" s="11" t="s">
        <v>20</v>
      </c>
      <c r="J3" s="11" t="s">
        <v>21</v>
      </c>
      <c r="K3" s="11" t="s">
        <v>22</v>
      </c>
      <c r="L3" s="3"/>
      <c r="M3" s="3"/>
      <c r="N3" s="3"/>
      <c r="O3" s="3"/>
      <c r="P3" s="3"/>
      <c r="Q3" s="3"/>
      <c r="R3" s="3"/>
      <c r="S3" s="3"/>
      <c r="T3" s="3"/>
      <c r="U3" s="3"/>
      <c r="V3" s="3"/>
      <c r="W3" s="3"/>
      <c r="X3" s="3"/>
      <c r="Y3" s="3"/>
      <c r="Z3" s="3"/>
      <c r="AA3" s="3"/>
      <c r="AB3" s="3"/>
      <c r="AC3" s="3"/>
    </row>
    <row r="4">
      <c r="A4" s="4">
        <v>46089.0</v>
      </c>
      <c r="B4" s="5" t="s">
        <v>14</v>
      </c>
      <c r="C4" s="5" t="s">
        <v>15</v>
      </c>
      <c r="D4" s="5" t="s">
        <v>15</v>
      </c>
      <c r="E4" s="5"/>
      <c r="F4" s="5"/>
      <c r="G4" s="5"/>
      <c r="H4" s="8"/>
      <c r="I4" s="2"/>
      <c r="J4" s="2"/>
      <c r="K4" s="2"/>
      <c r="L4" s="3"/>
      <c r="M4" s="3"/>
      <c r="N4" s="3"/>
      <c r="O4" s="3"/>
      <c r="P4" s="3"/>
      <c r="Q4" s="3"/>
      <c r="R4" s="3"/>
      <c r="S4" s="3"/>
      <c r="T4" s="3"/>
      <c r="U4" s="3"/>
      <c r="V4" s="3"/>
      <c r="W4" s="3"/>
      <c r="X4" s="3"/>
      <c r="Y4" s="3"/>
      <c r="Z4" s="3"/>
      <c r="AA4" s="3"/>
      <c r="AB4" s="3"/>
      <c r="AC4" s="3"/>
    </row>
    <row r="5">
      <c r="A5" s="4">
        <v>46090.0</v>
      </c>
      <c r="B5" s="12" t="s">
        <v>23</v>
      </c>
      <c r="C5" s="5" t="s">
        <v>15</v>
      </c>
      <c r="D5" s="5" t="s">
        <v>24</v>
      </c>
      <c r="E5" s="5" t="s">
        <v>25</v>
      </c>
      <c r="F5" s="5"/>
      <c r="G5" s="5"/>
      <c r="H5" s="8"/>
      <c r="I5" s="2"/>
      <c r="J5" s="2"/>
      <c r="K5" s="2"/>
      <c r="L5" s="3"/>
      <c r="M5" s="3"/>
      <c r="N5" s="3"/>
      <c r="O5" s="3"/>
      <c r="P5" s="3"/>
      <c r="Q5" s="3"/>
      <c r="R5" s="3"/>
      <c r="S5" s="3"/>
      <c r="T5" s="3"/>
      <c r="U5" s="3"/>
      <c r="V5" s="3"/>
      <c r="W5" s="3"/>
      <c r="X5" s="3"/>
      <c r="Y5" s="3"/>
      <c r="Z5" s="3"/>
      <c r="AA5" s="3"/>
      <c r="AB5" s="3"/>
      <c r="AC5" s="3"/>
    </row>
    <row r="6">
      <c r="A6" s="4">
        <v>46091.0</v>
      </c>
      <c r="B6" s="5" t="s">
        <v>26</v>
      </c>
      <c r="C6" s="5" t="s">
        <v>24</v>
      </c>
      <c r="D6" s="5" t="s">
        <v>26</v>
      </c>
      <c r="E6" s="5" t="s">
        <v>27</v>
      </c>
      <c r="F6" s="5" t="s">
        <v>28</v>
      </c>
      <c r="G6" s="13"/>
      <c r="H6" s="8"/>
      <c r="I6" s="2"/>
      <c r="J6" s="2"/>
      <c r="K6" s="2"/>
      <c r="L6" s="3"/>
      <c r="M6" s="3"/>
      <c r="N6" s="3"/>
      <c r="O6" s="3"/>
      <c r="P6" s="3"/>
      <c r="Q6" s="3"/>
      <c r="R6" s="3"/>
      <c r="S6" s="3"/>
      <c r="T6" s="3"/>
      <c r="U6" s="3"/>
      <c r="V6" s="3"/>
      <c r="W6" s="3"/>
      <c r="X6" s="3"/>
      <c r="Y6" s="3"/>
      <c r="Z6" s="3"/>
      <c r="AA6" s="3"/>
      <c r="AB6" s="3"/>
      <c r="AC6" s="3"/>
    </row>
    <row r="7">
      <c r="A7" s="4">
        <v>46092.0</v>
      </c>
      <c r="B7" s="5" t="s">
        <v>26</v>
      </c>
      <c r="C7" s="9" t="s">
        <v>26</v>
      </c>
      <c r="D7" s="9" t="s">
        <v>26</v>
      </c>
      <c r="E7" s="14"/>
      <c r="F7" s="15" t="s">
        <v>29</v>
      </c>
      <c r="G7" s="13"/>
      <c r="H7" s="8"/>
      <c r="I7" s="2"/>
      <c r="J7" s="2"/>
      <c r="K7" s="2"/>
      <c r="L7" s="3"/>
      <c r="M7" s="3"/>
      <c r="N7" s="3"/>
      <c r="O7" s="3"/>
      <c r="P7" s="3"/>
      <c r="Q7" s="3"/>
      <c r="R7" s="3"/>
      <c r="S7" s="3"/>
      <c r="T7" s="3"/>
      <c r="U7" s="3"/>
      <c r="V7" s="3"/>
      <c r="W7" s="3"/>
      <c r="X7" s="3"/>
      <c r="Y7" s="3"/>
      <c r="Z7" s="3"/>
      <c r="AA7" s="3"/>
      <c r="AB7" s="3"/>
      <c r="AC7" s="3"/>
    </row>
    <row r="8">
      <c r="A8" s="4">
        <v>46093.0</v>
      </c>
      <c r="B8" s="5" t="s">
        <v>30</v>
      </c>
      <c r="C8" s="5" t="s">
        <v>26</v>
      </c>
      <c r="D8" s="5" t="s">
        <v>31</v>
      </c>
      <c r="E8" s="5"/>
      <c r="F8" s="5"/>
      <c r="G8" s="14"/>
      <c r="H8" s="11"/>
      <c r="I8" s="2"/>
      <c r="J8" s="2"/>
      <c r="K8" s="2"/>
      <c r="L8" s="3"/>
      <c r="M8" s="3"/>
      <c r="N8" s="3"/>
      <c r="O8" s="3"/>
      <c r="P8" s="3"/>
      <c r="Q8" s="3"/>
      <c r="R8" s="3"/>
      <c r="S8" s="3"/>
      <c r="T8" s="3"/>
      <c r="U8" s="3"/>
      <c r="V8" s="3"/>
      <c r="W8" s="3"/>
      <c r="X8" s="3"/>
      <c r="Y8" s="3"/>
      <c r="Z8" s="3"/>
      <c r="AA8" s="3"/>
      <c r="AB8" s="3"/>
      <c r="AC8" s="3"/>
    </row>
    <row r="9">
      <c r="A9" s="4">
        <v>46094.0</v>
      </c>
      <c r="B9" s="5" t="s">
        <v>32</v>
      </c>
      <c r="C9" s="5" t="s">
        <v>31</v>
      </c>
      <c r="D9" s="5" t="s">
        <v>33</v>
      </c>
      <c r="E9" s="5" t="s">
        <v>34</v>
      </c>
      <c r="F9" s="5"/>
      <c r="G9" s="13"/>
      <c r="H9" s="11"/>
      <c r="I9" s="2"/>
      <c r="J9" s="2"/>
      <c r="K9" s="2"/>
      <c r="L9" s="3"/>
      <c r="M9" s="3"/>
      <c r="N9" s="3"/>
      <c r="O9" s="3"/>
      <c r="P9" s="3"/>
      <c r="Q9" s="3"/>
      <c r="R9" s="3"/>
      <c r="S9" s="3"/>
      <c r="T9" s="3"/>
      <c r="U9" s="3"/>
      <c r="V9" s="3"/>
      <c r="W9" s="3"/>
      <c r="X9" s="3"/>
      <c r="Y9" s="3"/>
      <c r="Z9" s="3"/>
      <c r="AA9" s="3"/>
      <c r="AB9" s="3"/>
      <c r="AC9" s="3"/>
    </row>
    <row r="10">
      <c r="A10" s="4">
        <v>46095.0</v>
      </c>
      <c r="B10" s="5" t="s">
        <v>35</v>
      </c>
      <c r="C10" s="5" t="s">
        <v>33</v>
      </c>
      <c r="D10" s="5" t="s">
        <v>33</v>
      </c>
      <c r="E10" s="5"/>
      <c r="F10" s="5" t="s">
        <v>36</v>
      </c>
      <c r="G10" s="5"/>
      <c r="H10" s="2"/>
      <c r="I10" s="8"/>
      <c r="J10" s="2"/>
      <c r="K10" s="2"/>
      <c r="L10" s="3"/>
      <c r="M10" s="3"/>
      <c r="N10" s="3"/>
      <c r="O10" s="3"/>
      <c r="P10" s="3"/>
      <c r="Q10" s="3"/>
      <c r="R10" s="3"/>
      <c r="S10" s="3"/>
      <c r="T10" s="3"/>
      <c r="U10" s="3"/>
      <c r="V10" s="3"/>
      <c r="W10" s="3"/>
      <c r="X10" s="3"/>
      <c r="Y10" s="3"/>
      <c r="Z10" s="3"/>
      <c r="AA10" s="3"/>
      <c r="AB10" s="3"/>
      <c r="AC10" s="3"/>
    </row>
    <row r="11">
      <c r="A11" s="4">
        <v>46096.0</v>
      </c>
      <c r="B11" s="12" t="s">
        <v>37</v>
      </c>
      <c r="C11" s="5" t="s">
        <v>33</v>
      </c>
      <c r="D11" s="5" t="s">
        <v>24</v>
      </c>
      <c r="E11" s="5" t="s">
        <v>38</v>
      </c>
      <c r="F11" s="5"/>
      <c r="G11" s="13"/>
      <c r="H11" s="11"/>
      <c r="I11" s="2"/>
      <c r="J11" s="2"/>
      <c r="K11" s="2"/>
      <c r="L11" s="3"/>
      <c r="M11" s="3"/>
      <c r="N11" s="3"/>
      <c r="O11" s="3"/>
      <c r="P11" s="3"/>
      <c r="Q11" s="3"/>
      <c r="R11" s="3"/>
      <c r="S11" s="3"/>
      <c r="T11" s="3"/>
      <c r="U11" s="3"/>
      <c r="V11" s="3"/>
      <c r="W11" s="3"/>
      <c r="X11" s="3"/>
      <c r="Y11" s="3"/>
      <c r="Z11" s="3"/>
      <c r="AA11" s="3"/>
      <c r="AB11" s="3"/>
      <c r="AC11" s="3"/>
    </row>
    <row r="12">
      <c r="A12" s="4">
        <v>46097.0</v>
      </c>
      <c r="B12" s="5" t="s">
        <v>39</v>
      </c>
      <c r="C12" s="5" t="s">
        <v>24</v>
      </c>
      <c r="D12" s="5" t="s">
        <v>39</v>
      </c>
      <c r="E12" s="5" t="s">
        <v>40</v>
      </c>
      <c r="F12" s="5"/>
      <c r="G12" s="13"/>
      <c r="H12" s="11"/>
      <c r="I12" s="2"/>
      <c r="J12" s="2"/>
      <c r="K12" s="2"/>
      <c r="L12" s="3"/>
      <c r="M12" s="3"/>
      <c r="N12" s="3"/>
      <c r="O12" s="3"/>
      <c r="P12" s="3"/>
      <c r="Q12" s="3"/>
      <c r="R12" s="3"/>
      <c r="S12" s="3"/>
      <c r="T12" s="3"/>
      <c r="U12" s="3"/>
      <c r="V12" s="3"/>
      <c r="W12" s="3"/>
      <c r="X12" s="3"/>
      <c r="Y12" s="3"/>
      <c r="Z12" s="3"/>
      <c r="AA12" s="3"/>
      <c r="AB12" s="3"/>
      <c r="AC12" s="3"/>
    </row>
    <row r="13">
      <c r="A13" s="4">
        <v>46098.0</v>
      </c>
      <c r="B13" s="16" t="s">
        <v>39</v>
      </c>
      <c r="C13" s="9" t="s">
        <v>39</v>
      </c>
      <c r="D13" s="9" t="s">
        <v>39</v>
      </c>
      <c r="E13" s="14"/>
      <c r="F13" s="14"/>
      <c r="G13" s="14"/>
      <c r="H13" s="8"/>
      <c r="I13" s="2"/>
      <c r="J13" s="2"/>
      <c r="K13" s="2"/>
      <c r="L13" s="3"/>
      <c r="M13" s="3"/>
      <c r="N13" s="3"/>
      <c r="O13" s="3"/>
      <c r="P13" s="3"/>
      <c r="Q13" s="3"/>
      <c r="R13" s="3"/>
      <c r="S13" s="3"/>
      <c r="T13" s="3"/>
      <c r="U13" s="3"/>
      <c r="V13" s="3"/>
      <c r="W13" s="3"/>
      <c r="X13" s="3"/>
      <c r="Y13" s="3"/>
      <c r="Z13" s="3"/>
      <c r="AA13" s="3"/>
      <c r="AB13" s="3"/>
      <c r="AC13" s="3"/>
    </row>
    <row r="14">
      <c r="A14" s="4">
        <v>46099.0</v>
      </c>
      <c r="B14" s="5" t="s">
        <v>41</v>
      </c>
      <c r="C14" s="5" t="s">
        <v>39</v>
      </c>
      <c r="D14" s="5" t="s">
        <v>42</v>
      </c>
      <c r="E14" s="5" t="s">
        <v>43</v>
      </c>
      <c r="F14" s="5" t="s">
        <v>44</v>
      </c>
      <c r="G14" s="13"/>
      <c r="H14" s="2"/>
      <c r="I14" s="2"/>
      <c r="J14" s="2"/>
      <c r="K14" s="2"/>
      <c r="L14" s="3"/>
      <c r="M14" s="3"/>
      <c r="N14" s="3"/>
      <c r="O14" s="3"/>
      <c r="P14" s="3"/>
      <c r="Q14" s="3"/>
      <c r="R14" s="3"/>
      <c r="S14" s="3"/>
      <c r="T14" s="3"/>
      <c r="U14" s="3"/>
      <c r="V14" s="3"/>
      <c r="W14" s="3"/>
      <c r="X14" s="3"/>
      <c r="Y14" s="3"/>
      <c r="Z14" s="3"/>
      <c r="AA14" s="3"/>
      <c r="AB14" s="3"/>
      <c r="AC14" s="3"/>
    </row>
    <row r="15">
      <c r="A15" s="4">
        <v>46100.0</v>
      </c>
      <c r="B15" s="5" t="s">
        <v>42</v>
      </c>
      <c r="C15" s="5" t="s">
        <v>42</v>
      </c>
      <c r="D15" s="5" t="s">
        <v>42</v>
      </c>
      <c r="E15" s="5"/>
      <c r="F15" s="15" t="s">
        <v>29</v>
      </c>
      <c r="G15" s="13"/>
      <c r="H15" s="2"/>
      <c r="I15" s="2"/>
      <c r="J15" s="2"/>
      <c r="K15" s="2"/>
      <c r="L15" s="3"/>
      <c r="M15" s="3"/>
      <c r="N15" s="3"/>
      <c r="O15" s="3"/>
      <c r="P15" s="3"/>
      <c r="Q15" s="3"/>
      <c r="R15" s="3"/>
      <c r="S15" s="3"/>
      <c r="T15" s="3"/>
      <c r="U15" s="3"/>
      <c r="V15" s="3"/>
      <c r="W15" s="3"/>
      <c r="X15" s="3"/>
      <c r="Y15" s="3"/>
      <c r="Z15" s="3"/>
      <c r="AA15" s="3"/>
      <c r="AB15" s="3"/>
      <c r="AC15" s="3"/>
    </row>
    <row r="16">
      <c r="A16" s="4">
        <v>46101.0</v>
      </c>
      <c r="B16" s="5" t="s">
        <v>42</v>
      </c>
      <c r="C16" s="5" t="s">
        <v>42</v>
      </c>
      <c r="D16" s="5" t="s">
        <v>42</v>
      </c>
      <c r="E16" s="5"/>
      <c r="F16" s="15" t="s">
        <v>29</v>
      </c>
      <c r="G16" s="13"/>
      <c r="H16" s="2"/>
      <c r="I16" s="2"/>
      <c r="J16" s="2"/>
      <c r="K16" s="2"/>
      <c r="L16" s="3"/>
      <c r="M16" s="3"/>
      <c r="N16" s="3"/>
      <c r="O16" s="3"/>
      <c r="P16" s="3"/>
      <c r="Q16" s="3"/>
      <c r="R16" s="3"/>
      <c r="S16" s="3"/>
      <c r="T16" s="3"/>
      <c r="U16" s="3"/>
      <c r="V16" s="3"/>
      <c r="W16" s="3"/>
      <c r="X16" s="3"/>
      <c r="Y16" s="3"/>
      <c r="Z16" s="3"/>
      <c r="AA16" s="3"/>
      <c r="AB16" s="3"/>
      <c r="AC16" s="3"/>
    </row>
    <row r="17">
      <c r="A17" s="4">
        <v>46102.0</v>
      </c>
      <c r="B17" s="5" t="s">
        <v>45</v>
      </c>
      <c r="C17" s="5" t="s">
        <v>42</v>
      </c>
      <c r="D17" s="5" t="s">
        <v>10</v>
      </c>
      <c r="E17" s="5" t="s">
        <v>46</v>
      </c>
      <c r="F17" s="13"/>
      <c r="G17" s="13"/>
      <c r="H17" s="2"/>
      <c r="I17" s="2"/>
      <c r="J17" s="2"/>
      <c r="K17" s="2"/>
      <c r="L17" s="3"/>
      <c r="M17" s="3"/>
      <c r="N17" s="3"/>
      <c r="O17" s="3"/>
      <c r="P17" s="3"/>
      <c r="Q17" s="3"/>
      <c r="R17" s="3"/>
      <c r="S17" s="3"/>
      <c r="T17" s="3"/>
      <c r="U17" s="3"/>
      <c r="V17" s="3"/>
      <c r="W17" s="3"/>
      <c r="X17" s="3"/>
      <c r="Y17" s="3"/>
      <c r="Z17" s="3"/>
      <c r="AA17" s="3"/>
      <c r="AB17" s="3"/>
      <c r="AC17" s="3"/>
    </row>
    <row r="18">
      <c r="A18" s="3"/>
      <c r="B18" s="17"/>
      <c r="C18" s="17"/>
      <c r="D18" s="17"/>
      <c r="E18" s="17"/>
      <c r="F18" s="3"/>
      <c r="G18" s="3"/>
      <c r="H18" s="3"/>
      <c r="I18" s="3"/>
      <c r="J18" s="3"/>
      <c r="K18" s="3"/>
      <c r="L18" s="3"/>
      <c r="M18" s="3"/>
      <c r="N18" s="3"/>
      <c r="O18" s="3"/>
      <c r="P18" s="3"/>
      <c r="Q18" s="3"/>
      <c r="R18" s="3"/>
      <c r="S18" s="3"/>
      <c r="T18" s="3"/>
      <c r="U18" s="3"/>
      <c r="V18" s="3"/>
      <c r="W18" s="3"/>
      <c r="X18" s="3"/>
      <c r="Y18" s="3"/>
      <c r="Z18" s="3"/>
      <c r="AA18" s="3"/>
      <c r="AB18" s="3"/>
      <c r="AC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c r="A25" s="17"/>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c r="A26" s="17"/>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c r="A27" s="17"/>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c r="A28" s="17"/>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c r="A29" s="17"/>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c r="A30" s="17"/>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sheetData>
  <hyperlinks>
    <hyperlink r:id="rId4" ref="G2"/>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 customWidth="1" min="2" max="2" width="27.88"/>
    <col customWidth="1" min="3" max="3" width="13.38"/>
  </cols>
  <sheetData>
    <row r="1">
      <c r="A1" s="18" t="s">
        <v>47</v>
      </c>
      <c r="B1" s="19"/>
      <c r="C1" s="20"/>
      <c r="D1" s="20"/>
      <c r="E1" s="20"/>
      <c r="F1" s="20"/>
      <c r="G1" s="20"/>
      <c r="H1" s="20"/>
      <c r="I1" s="20"/>
      <c r="J1" s="20"/>
      <c r="K1" s="20"/>
      <c r="L1" s="20"/>
      <c r="M1" s="20"/>
      <c r="N1" s="20"/>
      <c r="O1" s="20"/>
      <c r="P1" s="20"/>
      <c r="Q1" s="20"/>
      <c r="R1" s="20"/>
      <c r="S1" s="20"/>
      <c r="T1" s="20"/>
      <c r="U1" s="20"/>
      <c r="V1" s="20"/>
      <c r="W1" s="20"/>
      <c r="X1" s="20"/>
      <c r="Y1" s="20"/>
      <c r="Z1" s="20"/>
    </row>
    <row r="2">
      <c r="A2" s="21"/>
      <c r="B2" s="20"/>
      <c r="C2" s="20"/>
      <c r="D2" s="20"/>
      <c r="E2" s="20"/>
      <c r="F2" s="20"/>
      <c r="G2" s="20"/>
      <c r="H2" s="20"/>
      <c r="I2" s="20"/>
      <c r="J2" s="20"/>
      <c r="K2" s="20"/>
      <c r="L2" s="20"/>
      <c r="M2" s="20"/>
      <c r="N2" s="20"/>
      <c r="O2" s="20"/>
      <c r="P2" s="20"/>
      <c r="Q2" s="20"/>
      <c r="R2" s="20"/>
      <c r="S2" s="20"/>
      <c r="T2" s="20"/>
      <c r="U2" s="20"/>
      <c r="V2" s="20"/>
      <c r="W2" s="20"/>
      <c r="X2" s="20"/>
      <c r="Y2" s="20"/>
      <c r="Z2" s="20"/>
    </row>
    <row r="3">
      <c r="A3" s="22" t="s">
        <v>48</v>
      </c>
      <c r="B3" s="23"/>
      <c r="C3" s="23"/>
      <c r="D3" s="23"/>
      <c r="E3" s="20"/>
      <c r="F3" s="20"/>
      <c r="G3" s="20"/>
      <c r="H3" s="20"/>
      <c r="I3" s="20"/>
      <c r="J3" s="20"/>
      <c r="K3" s="20"/>
      <c r="L3" s="20"/>
      <c r="M3" s="20"/>
      <c r="N3" s="20"/>
      <c r="O3" s="20"/>
      <c r="P3" s="20"/>
      <c r="Q3" s="20"/>
      <c r="R3" s="20"/>
      <c r="S3" s="20"/>
      <c r="T3" s="20"/>
      <c r="U3" s="20"/>
      <c r="V3" s="20"/>
      <c r="W3" s="20"/>
      <c r="X3" s="20"/>
      <c r="Y3" s="20"/>
      <c r="Z3" s="20"/>
    </row>
    <row r="4">
      <c r="A4" s="24" t="s">
        <v>49</v>
      </c>
      <c r="B4" s="25" t="s">
        <v>50</v>
      </c>
      <c r="D4" s="26"/>
    </row>
    <row r="5">
      <c r="A5" s="27" t="s">
        <v>19</v>
      </c>
      <c r="B5" s="23"/>
      <c r="C5" s="28"/>
      <c r="D5" s="29"/>
      <c r="E5" s="20"/>
      <c r="F5" s="20"/>
      <c r="G5" s="20"/>
      <c r="H5" s="20"/>
      <c r="I5" s="20"/>
      <c r="J5" s="20"/>
      <c r="K5" s="20"/>
      <c r="L5" s="20"/>
      <c r="M5" s="20"/>
      <c r="N5" s="20"/>
      <c r="O5" s="20"/>
      <c r="P5" s="20"/>
      <c r="Q5" s="20"/>
      <c r="R5" s="20"/>
      <c r="S5" s="20"/>
      <c r="T5" s="20"/>
      <c r="U5" s="20"/>
      <c r="V5" s="20"/>
      <c r="W5" s="20"/>
      <c r="X5" s="20"/>
      <c r="Y5" s="20"/>
      <c r="Z5" s="20"/>
    </row>
    <row r="6">
      <c r="A6" s="22" t="s">
        <v>51</v>
      </c>
      <c r="B6" s="23"/>
      <c r="C6" s="30"/>
      <c r="D6" s="23"/>
      <c r="E6" s="20"/>
      <c r="F6" s="20"/>
      <c r="G6" s="20"/>
      <c r="H6" s="20"/>
      <c r="I6" s="20"/>
      <c r="J6" s="20"/>
      <c r="K6" s="20"/>
      <c r="L6" s="20"/>
      <c r="M6" s="20"/>
      <c r="N6" s="20"/>
      <c r="O6" s="20"/>
      <c r="P6" s="20"/>
      <c r="Q6" s="20"/>
      <c r="R6" s="20"/>
      <c r="S6" s="20"/>
      <c r="T6" s="20"/>
      <c r="U6" s="20"/>
      <c r="V6" s="20"/>
      <c r="W6" s="20"/>
      <c r="X6" s="20"/>
      <c r="Y6" s="20"/>
      <c r="Z6" s="20"/>
    </row>
    <row r="7">
      <c r="A7" s="27" t="s">
        <v>52</v>
      </c>
      <c r="B7" s="23"/>
      <c r="C7" s="23"/>
      <c r="D7" s="23"/>
      <c r="E7" s="20"/>
      <c r="F7" s="20"/>
      <c r="G7" s="20"/>
      <c r="H7" s="20"/>
      <c r="I7" s="20"/>
      <c r="J7" s="20"/>
      <c r="K7" s="20"/>
      <c r="L7" s="20"/>
      <c r="M7" s="20"/>
      <c r="N7" s="20"/>
      <c r="O7" s="20"/>
      <c r="P7" s="20"/>
      <c r="Q7" s="20"/>
      <c r="R7" s="20"/>
      <c r="S7" s="20"/>
      <c r="T7" s="20"/>
      <c r="U7" s="20"/>
      <c r="V7" s="20"/>
      <c r="W7" s="20"/>
      <c r="X7" s="20"/>
      <c r="Y7" s="20"/>
      <c r="Z7" s="20"/>
    </row>
    <row r="8">
      <c r="A8" s="27" t="s">
        <v>53</v>
      </c>
      <c r="B8" s="23"/>
      <c r="C8" s="23"/>
      <c r="D8" s="23"/>
      <c r="E8" s="20"/>
      <c r="F8" s="20"/>
      <c r="G8" s="20"/>
      <c r="H8" s="20"/>
      <c r="I8" s="20"/>
      <c r="J8" s="20"/>
      <c r="K8" s="20"/>
      <c r="L8" s="20"/>
      <c r="M8" s="20"/>
      <c r="N8" s="20"/>
      <c r="O8" s="20"/>
      <c r="P8" s="20"/>
      <c r="Q8" s="20"/>
      <c r="R8" s="20"/>
      <c r="S8" s="20"/>
      <c r="T8" s="20"/>
      <c r="U8" s="20"/>
      <c r="V8" s="20"/>
      <c r="W8" s="20"/>
      <c r="X8" s="20"/>
      <c r="Y8" s="20"/>
      <c r="Z8" s="20"/>
    </row>
    <row r="9">
      <c r="A9" s="27" t="s">
        <v>54</v>
      </c>
      <c r="B9" s="23"/>
      <c r="C9" s="23"/>
      <c r="D9" s="23"/>
      <c r="E9" s="20"/>
      <c r="F9" s="20"/>
      <c r="G9" s="20"/>
      <c r="H9" s="20"/>
      <c r="I9" s="20"/>
      <c r="J9" s="20"/>
      <c r="K9" s="20"/>
      <c r="L9" s="20"/>
      <c r="M9" s="20"/>
      <c r="N9" s="20"/>
      <c r="O9" s="20"/>
      <c r="P9" s="20"/>
      <c r="Q9" s="20"/>
      <c r="R9" s="20"/>
      <c r="S9" s="20"/>
      <c r="T9" s="20"/>
      <c r="U9" s="20"/>
      <c r="V9" s="20"/>
      <c r="W9" s="20"/>
      <c r="X9" s="20"/>
      <c r="Y9" s="20"/>
      <c r="Z9" s="20"/>
    </row>
    <row r="10">
      <c r="A10" s="27" t="s">
        <v>55</v>
      </c>
      <c r="B10" s="23"/>
      <c r="C10" s="23"/>
      <c r="D10" s="23"/>
      <c r="E10" s="20"/>
      <c r="F10" s="20"/>
      <c r="G10" s="20"/>
      <c r="H10" s="20"/>
      <c r="I10" s="20"/>
      <c r="J10" s="20"/>
      <c r="K10" s="20"/>
      <c r="L10" s="20"/>
      <c r="M10" s="20"/>
      <c r="N10" s="20"/>
      <c r="O10" s="20"/>
      <c r="P10" s="20"/>
      <c r="Q10" s="20"/>
      <c r="R10" s="20"/>
      <c r="S10" s="20"/>
      <c r="T10" s="20"/>
      <c r="U10" s="20"/>
      <c r="V10" s="20"/>
      <c r="W10" s="20"/>
      <c r="X10" s="20"/>
      <c r="Y10" s="20"/>
      <c r="Z10" s="20"/>
    </row>
    <row r="11">
      <c r="A11" s="27" t="s">
        <v>56</v>
      </c>
      <c r="B11" s="23"/>
      <c r="C11" s="23"/>
      <c r="D11" s="23"/>
      <c r="E11" s="20"/>
      <c r="F11" s="20"/>
      <c r="G11" s="20"/>
      <c r="H11" s="20"/>
      <c r="I11" s="20"/>
      <c r="J11" s="20"/>
      <c r="K11" s="20"/>
      <c r="L11" s="20"/>
      <c r="M11" s="20"/>
      <c r="N11" s="20"/>
      <c r="O11" s="20"/>
      <c r="P11" s="20"/>
      <c r="Q11" s="20"/>
      <c r="R11" s="20"/>
      <c r="S11" s="20"/>
      <c r="T11" s="20"/>
      <c r="U11" s="20"/>
      <c r="V11" s="20"/>
      <c r="W11" s="20"/>
      <c r="X11" s="20"/>
      <c r="Y11" s="20"/>
      <c r="Z11" s="20"/>
    </row>
    <row r="12">
      <c r="A12" s="27" t="s">
        <v>57</v>
      </c>
      <c r="B12" s="23"/>
      <c r="C12" s="23"/>
      <c r="D12" s="23"/>
      <c r="E12" s="20"/>
      <c r="F12" s="20"/>
      <c r="G12" s="20"/>
      <c r="H12" s="20"/>
      <c r="I12" s="20"/>
      <c r="J12" s="20"/>
      <c r="K12" s="20"/>
      <c r="L12" s="20"/>
      <c r="M12" s="20"/>
      <c r="N12" s="20"/>
      <c r="O12" s="20"/>
      <c r="P12" s="20"/>
      <c r="Q12" s="20"/>
      <c r="R12" s="20"/>
      <c r="S12" s="20"/>
      <c r="T12" s="20"/>
      <c r="U12" s="20"/>
      <c r="V12" s="20"/>
      <c r="W12" s="20"/>
      <c r="X12" s="20"/>
      <c r="Y12" s="20"/>
      <c r="Z12" s="20"/>
    </row>
    <row r="13">
      <c r="A13" s="27" t="s">
        <v>58</v>
      </c>
      <c r="B13" s="23"/>
      <c r="C13" s="23"/>
      <c r="D13" s="23"/>
      <c r="E13" s="20"/>
      <c r="F13" s="20"/>
      <c r="G13" s="20"/>
      <c r="H13" s="20"/>
      <c r="I13" s="20"/>
      <c r="J13" s="20"/>
      <c r="K13" s="20"/>
      <c r="L13" s="20"/>
      <c r="M13" s="20"/>
      <c r="N13" s="20"/>
      <c r="O13" s="20"/>
      <c r="P13" s="20"/>
      <c r="Q13" s="20"/>
      <c r="R13" s="20"/>
      <c r="S13" s="20"/>
      <c r="T13" s="20"/>
      <c r="U13" s="20"/>
      <c r="V13" s="20"/>
      <c r="W13" s="20"/>
      <c r="X13" s="20"/>
      <c r="Y13" s="20"/>
      <c r="Z13" s="20"/>
    </row>
    <row r="14">
      <c r="A14" s="27" t="s">
        <v>59</v>
      </c>
      <c r="B14" s="23"/>
      <c r="C14" s="23"/>
      <c r="D14" s="23"/>
      <c r="E14" s="20"/>
      <c r="F14" s="20"/>
      <c r="G14" s="20"/>
      <c r="H14" s="20"/>
      <c r="I14" s="20"/>
      <c r="J14" s="20"/>
      <c r="K14" s="20"/>
      <c r="L14" s="20"/>
      <c r="M14" s="20"/>
      <c r="N14" s="20"/>
      <c r="O14" s="20"/>
      <c r="P14" s="20"/>
      <c r="Q14" s="20"/>
      <c r="R14" s="20"/>
      <c r="S14" s="20"/>
      <c r="T14" s="20"/>
      <c r="U14" s="20"/>
      <c r="V14" s="20"/>
      <c r="W14" s="20"/>
      <c r="X14" s="20"/>
      <c r="Y14" s="20"/>
      <c r="Z14" s="20"/>
    </row>
    <row r="15">
      <c r="A15" s="27" t="s">
        <v>60</v>
      </c>
      <c r="B15" s="23"/>
      <c r="C15" s="23"/>
      <c r="D15" s="23"/>
      <c r="E15" s="20"/>
      <c r="F15" s="20"/>
      <c r="G15" s="20"/>
      <c r="H15" s="20"/>
      <c r="I15" s="20"/>
      <c r="J15" s="20"/>
      <c r="K15" s="20"/>
      <c r="L15" s="20"/>
      <c r="M15" s="20"/>
      <c r="N15" s="20"/>
      <c r="O15" s="20"/>
      <c r="P15" s="20"/>
      <c r="Q15" s="20"/>
      <c r="R15" s="20"/>
      <c r="S15" s="20"/>
      <c r="T15" s="20"/>
      <c r="U15" s="20"/>
      <c r="V15" s="20"/>
      <c r="W15" s="20"/>
      <c r="X15" s="20"/>
      <c r="Y15" s="20"/>
      <c r="Z15" s="20"/>
    </row>
    <row r="16">
      <c r="A16" s="27" t="s">
        <v>61</v>
      </c>
      <c r="B16" s="23"/>
      <c r="C16" s="23"/>
      <c r="D16" s="23"/>
      <c r="E16" s="20"/>
      <c r="F16" s="20"/>
      <c r="G16" s="20"/>
      <c r="H16" s="20"/>
      <c r="I16" s="20"/>
      <c r="J16" s="20"/>
      <c r="K16" s="20"/>
      <c r="L16" s="20"/>
      <c r="M16" s="20"/>
      <c r="N16" s="20"/>
      <c r="O16" s="20"/>
      <c r="P16" s="20"/>
      <c r="Q16" s="20"/>
      <c r="R16" s="20"/>
      <c r="S16" s="20"/>
      <c r="T16" s="20"/>
      <c r="U16" s="20"/>
      <c r="V16" s="20"/>
      <c r="W16" s="20"/>
      <c r="X16" s="20"/>
      <c r="Y16" s="20"/>
      <c r="Z16" s="20"/>
    </row>
    <row r="17">
      <c r="A17" s="27" t="s">
        <v>62</v>
      </c>
      <c r="B17" s="23"/>
      <c r="C17" s="23"/>
      <c r="D17" s="23"/>
      <c r="E17" s="20"/>
      <c r="F17" s="20"/>
      <c r="G17" s="20"/>
      <c r="H17" s="20"/>
      <c r="I17" s="20"/>
      <c r="J17" s="20"/>
      <c r="K17" s="20"/>
      <c r="L17" s="20"/>
      <c r="M17" s="20"/>
      <c r="N17" s="20"/>
      <c r="O17" s="20"/>
      <c r="P17" s="20"/>
      <c r="Q17" s="20"/>
      <c r="R17" s="20"/>
      <c r="S17" s="20"/>
      <c r="T17" s="20"/>
      <c r="U17" s="20"/>
      <c r="V17" s="20"/>
      <c r="W17" s="20"/>
      <c r="X17" s="20"/>
      <c r="Y17" s="20"/>
      <c r="Z17" s="20"/>
    </row>
    <row r="18">
      <c r="A18" s="27" t="s">
        <v>63</v>
      </c>
      <c r="B18" s="23"/>
      <c r="C18" s="23"/>
      <c r="D18" s="23"/>
      <c r="E18" s="20"/>
      <c r="F18" s="20"/>
      <c r="G18" s="20"/>
      <c r="H18" s="20"/>
      <c r="I18" s="20"/>
      <c r="J18" s="20"/>
      <c r="K18" s="20"/>
      <c r="L18" s="20"/>
      <c r="M18" s="20"/>
      <c r="N18" s="20"/>
      <c r="O18" s="20"/>
      <c r="P18" s="20"/>
      <c r="Q18" s="20"/>
      <c r="R18" s="20"/>
      <c r="S18" s="20"/>
      <c r="T18" s="20"/>
      <c r="U18" s="20"/>
      <c r="V18" s="20"/>
      <c r="W18" s="20"/>
      <c r="X18" s="20"/>
      <c r="Y18" s="20"/>
      <c r="Z18" s="20"/>
    </row>
    <row r="19">
      <c r="A19" s="31" t="s">
        <v>64</v>
      </c>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1"/>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18" t="s">
        <v>65</v>
      </c>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19" t="s">
        <v>66</v>
      </c>
      <c r="B22" s="19" t="s">
        <v>67</v>
      </c>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19" t="s">
        <v>68</v>
      </c>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19" t="s">
        <v>69</v>
      </c>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19" t="s">
        <v>70</v>
      </c>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19" t="s">
        <v>71</v>
      </c>
      <c r="B26" s="19" t="s">
        <v>72</v>
      </c>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19" t="s">
        <v>73</v>
      </c>
      <c r="B27" s="19" t="s">
        <v>74</v>
      </c>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18" t="s">
        <v>75</v>
      </c>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19" t="s">
        <v>76</v>
      </c>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19" t="s">
        <v>77</v>
      </c>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19" t="s">
        <v>78</v>
      </c>
      <c r="B31" s="19" t="s">
        <v>79</v>
      </c>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19" t="s">
        <v>80</v>
      </c>
      <c r="B32" s="19" t="s">
        <v>79</v>
      </c>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19"/>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6.5" customHeight="1">
      <c r="A34" s="32" t="s">
        <v>81</v>
      </c>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1" t="s">
        <v>82</v>
      </c>
      <c r="B35" s="33" t="s">
        <v>83</v>
      </c>
      <c r="C35" s="19" t="s">
        <v>84</v>
      </c>
      <c r="D35" s="19" t="s">
        <v>85</v>
      </c>
      <c r="E35" s="19" t="s">
        <v>86</v>
      </c>
      <c r="F35" s="20"/>
      <c r="G35" s="20"/>
      <c r="H35" s="20"/>
      <c r="I35" s="20"/>
      <c r="J35" s="20"/>
      <c r="K35" s="20"/>
      <c r="L35" s="20"/>
      <c r="M35" s="20"/>
      <c r="N35" s="20"/>
      <c r="O35" s="20"/>
      <c r="P35" s="20"/>
      <c r="Q35" s="20"/>
      <c r="R35" s="20"/>
      <c r="S35" s="20"/>
      <c r="T35" s="20"/>
      <c r="U35" s="20"/>
      <c r="V35" s="20"/>
      <c r="W35" s="20"/>
      <c r="X35" s="20"/>
      <c r="Y35" s="20"/>
      <c r="Z35" s="20"/>
    </row>
    <row r="36">
      <c r="A36" s="34" t="s">
        <v>87</v>
      </c>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19"/>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19"/>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37.5"/>
    <col customWidth="1" min="3" max="3" width="10.5"/>
    <col customWidth="1" min="4" max="4" width="26.5"/>
    <col customWidth="1" min="5" max="5" width="22.0"/>
  </cols>
  <sheetData>
    <row r="1">
      <c r="A1" s="35" t="s">
        <v>88</v>
      </c>
      <c r="B1" s="36" t="s">
        <v>89</v>
      </c>
      <c r="C1" s="37">
        <v>20.0</v>
      </c>
      <c r="D1" s="38"/>
      <c r="E1" s="38"/>
      <c r="F1" s="38"/>
      <c r="G1" s="38"/>
      <c r="H1" s="38"/>
      <c r="I1" s="38"/>
      <c r="J1" s="38"/>
      <c r="K1" s="38"/>
      <c r="L1" s="38"/>
      <c r="M1" s="38"/>
      <c r="N1" s="38"/>
      <c r="O1" s="38"/>
      <c r="P1" s="38"/>
      <c r="Q1" s="38"/>
      <c r="R1" s="38"/>
      <c r="S1" s="38"/>
      <c r="T1" s="38"/>
      <c r="U1" s="38"/>
      <c r="V1" s="38"/>
      <c r="W1" s="38"/>
      <c r="X1" s="38"/>
      <c r="Y1" s="38"/>
      <c r="Z1" s="38"/>
      <c r="AA1" s="38"/>
      <c r="AB1" s="38"/>
    </row>
    <row r="2">
      <c r="A2" s="39"/>
      <c r="B2" s="8"/>
      <c r="C2" s="38"/>
      <c r="D2" s="38"/>
      <c r="E2" s="38"/>
      <c r="F2" s="38"/>
      <c r="G2" s="38"/>
      <c r="H2" s="38"/>
      <c r="I2" s="38"/>
      <c r="J2" s="38"/>
      <c r="K2" s="38"/>
      <c r="L2" s="38"/>
      <c r="M2" s="38"/>
      <c r="N2" s="38"/>
      <c r="O2" s="38"/>
      <c r="P2" s="38"/>
      <c r="Q2" s="38"/>
      <c r="R2" s="38"/>
      <c r="S2" s="38"/>
      <c r="T2" s="38"/>
      <c r="U2" s="38"/>
      <c r="V2" s="38"/>
      <c r="W2" s="38"/>
      <c r="X2" s="38"/>
      <c r="Y2" s="38"/>
      <c r="Z2" s="38"/>
      <c r="AA2" s="38"/>
      <c r="AB2" s="38"/>
    </row>
    <row r="3">
      <c r="A3" s="40" t="s">
        <v>90</v>
      </c>
      <c r="B3" s="8"/>
      <c r="C3" s="38"/>
      <c r="D3" s="38"/>
      <c r="E3" s="38"/>
      <c r="F3" s="38"/>
      <c r="G3" s="38"/>
      <c r="H3" s="38"/>
      <c r="I3" s="38"/>
      <c r="J3" s="38"/>
      <c r="K3" s="38"/>
      <c r="L3" s="38"/>
      <c r="M3" s="38"/>
      <c r="N3" s="38"/>
      <c r="O3" s="38"/>
      <c r="P3" s="38"/>
      <c r="Q3" s="38"/>
      <c r="R3" s="38"/>
      <c r="S3" s="38"/>
      <c r="T3" s="38"/>
      <c r="U3" s="38"/>
      <c r="V3" s="38"/>
      <c r="W3" s="38"/>
      <c r="X3" s="38"/>
      <c r="Y3" s="38"/>
      <c r="Z3" s="38"/>
      <c r="AA3" s="38"/>
      <c r="AB3" s="38"/>
    </row>
    <row r="4">
      <c r="A4" s="36" t="s">
        <v>91</v>
      </c>
      <c r="B4" s="41" t="s">
        <v>92</v>
      </c>
      <c r="C4" s="36" t="s">
        <v>93</v>
      </c>
      <c r="D4" s="42" t="s">
        <v>94</v>
      </c>
      <c r="E4" s="36" t="s">
        <v>95</v>
      </c>
      <c r="F4" s="38"/>
      <c r="G4" s="38"/>
      <c r="H4" s="38"/>
      <c r="I4" s="38"/>
      <c r="J4" s="38"/>
      <c r="K4" s="38"/>
      <c r="L4" s="38"/>
      <c r="M4" s="38"/>
      <c r="N4" s="38"/>
      <c r="O4" s="38"/>
      <c r="P4" s="38"/>
      <c r="Q4" s="38"/>
      <c r="R4" s="38"/>
      <c r="S4" s="38"/>
      <c r="T4" s="38"/>
      <c r="U4" s="38"/>
      <c r="V4" s="38"/>
      <c r="W4" s="38"/>
      <c r="X4" s="38"/>
      <c r="Y4" s="38"/>
      <c r="Z4" s="38"/>
      <c r="AA4" s="38"/>
      <c r="AB4" s="38"/>
    </row>
    <row r="5">
      <c r="A5" s="43" t="s">
        <v>96</v>
      </c>
      <c r="B5" s="38"/>
      <c r="C5" s="38"/>
      <c r="D5" s="38"/>
      <c r="E5" s="38"/>
      <c r="F5" s="38"/>
      <c r="G5" s="38"/>
      <c r="H5" s="38"/>
      <c r="I5" s="38"/>
      <c r="J5" s="38"/>
      <c r="K5" s="38"/>
      <c r="L5" s="38"/>
      <c r="M5" s="38"/>
      <c r="N5" s="38"/>
      <c r="O5" s="38"/>
      <c r="P5" s="38"/>
      <c r="Q5" s="38"/>
      <c r="R5" s="38"/>
      <c r="S5" s="38"/>
      <c r="T5" s="38"/>
      <c r="U5" s="38"/>
      <c r="V5" s="38"/>
      <c r="W5" s="38"/>
      <c r="X5" s="38"/>
      <c r="Y5" s="38"/>
      <c r="Z5" s="38"/>
      <c r="AA5" s="38"/>
      <c r="AB5" s="38"/>
    </row>
    <row r="6">
      <c r="A6" s="36" t="s">
        <v>97</v>
      </c>
      <c r="B6" s="36" t="s">
        <v>98</v>
      </c>
      <c r="C6" s="38"/>
      <c r="D6" s="38"/>
      <c r="E6" s="38"/>
      <c r="F6" s="38"/>
      <c r="G6" s="38"/>
      <c r="H6" s="38"/>
      <c r="I6" s="38"/>
      <c r="J6" s="38"/>
      <c r="K6" s="38"/>
      <c r="L6" s="38"/>
      <c r="M6" s="38"/>
      <c r="N6" s="38"/>
      <c r="O6" s="38"/>
      <c r="P6" s="38"/>
      <c r="Q6" s="38"/>
      <c r="R6" s="38"/>
      <c r="S6" s="38"/>
      <c r="T6" s="38"/>
      <c r="U6" s="38"/>
      <c r="V6" s="38"/>
      <c r="W6" s="38"/>
      <c r="X6" s="38"/>
      <c r="Y6" s="38"/>
      <c r="Z6" s="38"/>
      <c r="AA6" s="38"/>
      <c r="AB6" s="38"/>
    </row>
    <row r="7">
      <c r="A7" s="36" t="s">
        <v>99</v>
      </c>
      <c r="B7" s="36" t="s">
        <v>100</v>
      </c>
      <c r="C7" s="36" t="s">
        <v>101</v>
      </c>
      <c r="D7" s="44" t="s">
        <v>102</v>
      </c>
      <c r="E7" s="38"/>
      <c r="F7" s="38"/>
      <c r="G7" s="38"/>
      <c r="H7" s="38"/>
      <c r="I7" s="38"/>
      <c r="J7" s="38"/>
      <c r="K7" s="38"/>
      <c r="L7" s="38"/>
      <c r="M7" s="38"/>
      <c r="N7" s="38"/>
      <c r="O7" s="38"/>
      <c r="P7" s="38"/>
      <c r="Q7" s="38"/>
      <c r="R7" s="38"/>
      <c r="S7" s="38"/>
      <c r="T7" s="38"/>
      <c r="U7" s="38"/>
      <c r="V7" s="38"/>
      <c r="W7" s="38"/>
      <c r="X7" s="38"/>
      <c r="Y7" s="38"/>
      <c r="Z7" s="38"/>
      <c r="AA7" s="38"/>
      <c r="AB7" s="38"/>
    </row>
    <row r="8">
      <c r="A8" s="36" t="s">
        <v>103</v>
      </c>
      <c r="B8" s="36" t="s">
        <v>104</v>
      </c>
      <c r="C8" s="38"/>
      <c r="D8" s="38"/>
      <c r="E8" s="38"/>
      <c r="F8" s="38"/>
      <c r="G8" s="38"/>
      <c r="H8" s="38"/>
      <c r="I8" s="38"/>
      <c r="J8" s="38"/>
      <c r="K8" s="38"/>
      <c r="L8" s="38"/>
      <c r="M8" s="38"/>
      <c r="N8" s="38"/>
      <c r="O8" s="38"/>
      <c r="P8" s="38"/>
      <c r="Q8" s="38"/>
      <c r="R8" s="38"/>
      <c r="S8" s="38"/>
      <c r="T8" s="38"/>
      <c r="U8" s="38"/>
      <c r="V8" s="38"/>
      <c r="W8" s="38"/>
      <c r="X8" s="38"/>
      <c r="Y8" s="38"/>
      <c r="Z8" s="38"/>
      <c r="AA8" s="38"/>
      <c r="AB8" s="38"/>
    </row>
    <row r="9">
      <c r="A9" s="36" t="s">
        <v>105</v>
      </c>
      <c r="B9" s="36" t="s">
        <v>106</v>
      </c>
      <c r="C9" s="38"/>
      <c r="D9" s="38"/>
      <c r="E9" s="38"/>
      <c r="F9" s="38"/>
      <c r="G9" s="38"/>
      <c r="H9" s="38"/>
      <c r="I9" s="38"/>
      <c r="J9" s="38"/>
      <c r="K9" s="38"/>
      <c r="L9" s="38"/>
      <c r="M9" s="38"/>
      <c r="N9" s="38"/>
      <c r="O9" s="38"/>
      <c r="P9" s="38"/>
      <c r="Q9" s="38"/>
      <c r="R9" s="38"/>
      <c r="S9" s="38"/>
      <c r="T9" s="38"/>
      <c r="U9" s="38"/>
      <c r="V9" s="38"/>
      <c r="W9" s="38"/>
      <c r="X9" s="38"/>
      <c r="Y9" s="38"/>
      <c r="Z9" s="38"/>
      <c r="AA9" s="38"/>
      <c r="AB9" s="38"/>
    </row>
    <row r="10">
      <c r="A10" s="36" t="s">
        <v>107</v>
      </c>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row>
    <row r="11">
      <c r="A11" s="36" t="s">
        <v>108</v>
      </c>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row>
    <row r="12">
      <c r="A12" s="36" t="s">
        <v>109</v>
      </c>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row>
    <row r="13">
      <c r="A13" s="36" t="s">
        <v>110</v>
      </c>
      <c r="B13" s="36" t="s">
        <v>111</v>
      </c>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row>
    <row r="14">
      <c r="A14" s="36" t="s">
        <v>112</v>
      </c>
      <c r="B14" s="36"/>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row>
    <row r="15">
      <c r="A15" s="45"/>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row>
    <row r="16">
      <c r="A16" s="43" t="s">
        <v>113</v>
      </c>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row>
    <row r="17">
      <c r="A17" s="36" t="s">
        <v>114</v>
      </c>
      <c r="B17" s="36" t="s">
        <v>115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row>
    <row r="18">
      <c r="A18" s="36" t="s">
        <v>116</v>
      </c>
      <c r="B18" s="36" t="s">
        <v>117</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row>
    <row r="19">
      <c r="A19" s="36" t="s">
        <v>118</v>
      </c>
      <c r="B19" s="36" t="s">
        <v>119</v>
      </c>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row>
    <row r="20">
      <c r="A20" s="36" t="s">
        <v>120</v>
      </c>
      <c r="B20" s="36" t="s">
        <v>121</v>
      </c>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row>
    <row r="21">
      <c r="A21" s="36"/>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row>
    <row r="22">
      <c r="A22" s="44" t="s">
        <v>122</v>
      </c>
      <c r="B22" s="36" t="s">
        <v>123</v>
      </c>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row>
    <row r="2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row>
    <row r="26">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row>
    <row r="28">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8"/>
    <col customWidth="1" min="2" max="2" width="27.5"/>
    <col customWidth="1" min="4" max="4" width="38.0"/>
  </cols>
  <sheetData>
    <row r="1">
      <c r="A1" s="46" t="s">
        <v>124</v>
      </c>
      <c r="B1" s="38"/>
      <c r="C1" s="38"/>
      <c r="D1" s="38"/>
      <c r="E1" s="38"/>
      <c r="F1" s="38"/>
      <c r="G1" s="38"/>
      <c r="H1" s="38"/>
      <c r="I1" s="38"/>
      <c r="J1" s="38"/>
      <c r="K1" s="38"/>
      <c r="L1" s="38"/>
      <c r="M1" s="38"/>
      <c r="N1" s="38"/>
      <c r="O1" s="38"/>
      <c r="P1" s="38"/>
      <c r="Q1" s="38"/>
      <c r="R1" s="38"/>
      <c r="S1" s="38"/>
      <c r="T1" s="38"/>
      <c r="U1" s="38"/>
      <c r="V1" s="38"/>
      <c r="W1" s="38"/>
      <c r="X1" s="38"/>
      <c r="Y1" s="38"/>
      <c r="Z1" s="38"/>
      <c r="AA1" s="38"/>
      <c r="AB1" s="38"/>
    </row>
    <row r="2">
      <c r="A2" s="46" t="s">
        <v>125</v>
      </c>
      <c r="B2" s="36" t="s">
        <v>126</v>
      </c>
      <c r="C2" s="38"/>
      <c r="D2" s="38"/>
      <c r="E2" s="38"/>
      <c r="F2" s="38"/>
      <c r="G2" s="38"/>
      <c r="H2" s="38"/>
      <c r="I2" s="38"/>
      <c r="J2" s="38"/>
      <c r="K2" s="38"/>
      <c r="L2" s="38"/>
      <c r="M2" s="38"/>
      <c r="N2" s="38"/>
      <c r="O2" s="38"/>
      <c r="P2" s="38"/>
      <c r="Q2" s="38"/>
      <c r="R2" s="38"/>
      <c r="S2" s="38"/>
      <c r="T2" s="38"/>
      <c r="U2" s="38"/>
      <c r="V2" s="38"/>
      <c r="W2" s="38"/>
      <c r="X2" s="38"/>
      <c r="Y2" s="38"/>
      <c r="Z2" s="38"/>
      <c r="AA2" s="38"/>
      <c r="AB2" s="38"/>
    </row>
    <row r="3">
      <c r="A3" s="47" t="s">
        <v>127</v>
      </c>
      <c r="B3" s="38"/>
      <c r="C3" s="38"/>
      <c r="D3" s="38"/>
      <c r="E3" s="38"/>
      <c r="F3" s="38"/>
      <c r="G3" s="38"/>
      <c r="H3" s="38"/>
      <c r="I3" s="38"/>
      <c r="J3" s="38"/>
      <c r="K3" s="38"/>
      <c r="L3" s="38"/>
      <c r="M3" s="38"/>
      <c r="N3" s="38"/>
      <c r="O3" s="38"/>
      <c r="P3" s="38"/>
      <c r="Q3" s="38"/>
      <c r="R3" s="38"/>
      <c r="S3" s="38"/>
      <c r="T3" s="38"/>
      <c r="U3" s="38"/>
      <c r="V3" s="38"/>
      <c r="W3" s="38"/>
      <c r="X3" s="38"/>
      <c r="Y3" s="38"/>
      <c r="Z3" s="38"/>
      <c r="AA3" s="38"/>
      <c r="AB3" s="38"/>
    </row>
    <row r="4">
      <c r="A4" s="44" t="s">
        <v>128</v>
      </c>
      <c r="B4" s="38"/>
      <c r="C4" s="38"/>
      <c r="D4" s="38"/>
      <c r="E4" s="38"/>
      <c r="F4" s="38"/>
      <c r="G4" s="38"/>
      <c r="H4" s="38"/>
      <c r="I4" s="38"/>
      <c r="J4" s="38"/>
      <c r="K4" s="38"/>
      <c r="L4" s="38"/>
      <c r="M4" s="38"/>
      <c r="N4" s="38"/>
      <c r="O4" s="38"/>
      <c r="P4" s="38"/>
      <c r="Q4" s="38"/>
      <c r="R4" s="38"/>
      <c r="S4" s="38"/>
      <c r="T4" s="38"/>
      <c r="U4" s="38"/>
      <c r="V4" s="38"/>
      <c r="W4" s="38"/>
      <c r="X4" s="38"/>
      <c r="Y4" s="38"/>
      <c r="Z4" s="38"/>
      <c r="AA4" s="38"/>
      <c r="AB4" s="38"/>
    </row>
    <row r="5">
      <c r="A5" s="48"/>
    </row>
    <row r="7">
      <c r="A7" s="49"/>
    </row>
    <row r="8">
      <c r="A8" s="10" t="s">
        <v>129</v>
      </c>
      <c r="B8" s="10" t="s">
        <v>130</v>
      </c>
      <c r="C8" s="10" t="s">
        <v>131</v>
      </c>
      <c r="D8" s="50" t="s">
        <v>132</v>
      </c>
    </row>
    <row r="9">
      <c r="A9" s="10" t="s">
        <v>133</v>
      </c>
      <c r="B9" s="10" t="s">
        <v>134</v>
      </c>
      <c r="C9" s="8"/>
      <c r="D9" s="51"/>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2" t="s">
        <v>135</v>
      </c>
    </row>
    <row r="2">
      <c r="A2" s="52" t="s">
        <v>136</v>
      </c>
      <c r="B2" s="44" t="s">
        <v>133</v>
      </c>
    </row>
    <row r="3">
      <c r="A3" s="53" t="s">
        <v>137</v>
      </c>
    </row>
    <row r="4">
      <c r="A4" s="53"/>
    </row>
    <row r="5">
      <c r="A5" s="53" t="s">
        <v>138</v>
      </c>
    </row>
    <row r="6">
      <c r="A6" s="54" t="s">
        <v>139</v>
      </c>
    </row>
    <row r="7">
      <c r="A7" s="54" t="s">
        <v>140</v>
      </c>
    </row>
    <row r="8">
      <c r="A8" s="55" t="s">
        <v>141</v>
      </c>
    </row>
    <row r="9">
      <c r="A9" s="56"/>
    </row>
    <row r="10">
      <c r="A10" s="56" t="s">
        <v>142</v>
      </c>
    </row>
    <row r="11">
      <c r="A11" s="57" t="s">
        <v>143</v>
      </c>
    </row>
    <row r="12">
      <c r="A12" s="52" t="s">
        <v>144</v>
      </c>
    </row>
    <row r="13">
      <c r="A13" s="52" t="s">
        <v>145</v>
      </c>
    </row>
    <row r="14">
      <c r="A14" s="17" t="s">
        <v>146</v>
      </c>
    </row>
    <row r="17">
      <c r="A17" s="58" t="s">
        <v>147</v>
      </c>
    </row>
    <row r="18">
      <c r="A18" s="44" t="s">
        <v>148</v>
      </c>
    </row>
    <row r="20">
      <c r="A20" s="58" t="s">
        <v>149</v>
      </c>
    </row>
    <row r="21">
      <c r="A21" s="44" t="s">
        <v>150</v>
      </c>
    </row>
    <row r="22">
      <c r="A22" s="44" t="s">
        <v>151</v>
      </c>
    </row>
    <row r="23">
      <c r="A23" s="44" t="s">
        <v>152</v>
      </c>
    </row>
    <row r="24">
      <c r="A24" s="44" t="s">
        <v>153</v>
      </c>
    </row>
  </sheetData>
  <hyperlinks>
    <hyperlink r:id="rId4" ref="A8"/>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35.38"/>
    <col customWidth="1" min="3" max="3" width="58.25"/>
    <col customWidth="1" min="4" max="4" width="35.38"/>
  </cols>
  <sheetData>
    <row r="1">
      <c r="A1" s="59" t="s">
        <v>154</v>
      </c>
      <c r="B1" s="8"/>
      <c r="C1" s="8"/>
      <c r="D1" s="8"/>
      <c r="E1" s="8"/>
      <c r="F1" s="8"/>
      <c r="G1" s="8"/>
      <c r="H1" s="8"/>
      <c r="I1" s="8"/>
      <c r="J1" s="8"/>
      <c r="K1" s="8"/>
      <c r="L1" s="8"/>
      <c r="M1" s="8"/>
      <c r="N1" s="8"/>
      <c r="O1" s="8"/>
      <c r="P1" s="8"/>
      <c r="Q1" s="8"/>
      <c r="R1" s="8"/>
      <c r="S1" s="8"/>
      <c r="T1" s="8"/>
      <c r="U1" s="8"/>
      <c r="V1" s="8"/>
      <c r="W1" s="8"/>
      <c r="X1" s="8"/>
      <c r="Y1" s="8"/>
      <c r="Z1" s="8"/>
    </row>
    <row r="2">
      <c r="A2" s="60"/>
      <c r="B2" s="8"/>
      <c r="C2" s="8"/>
      <c r="D2" s="8"/>
      <c r="E2" s="8"/>
      <c r="F2" s="8"/>
      <c r="G2" s="8"/>
      <c r="H2" s="8"/>
      <c r="I2" s="8"/>
      <c r="J2" s="8"/>
      <c r="K2" s="8"/>
      <c r="L2" s="8"/>
      <c r="M2" s="8"/>
      <c r="N2" s="8"/>
      <c r="O2" s="8"/>
      <c r="P2" s="8"/>
      <c r="Q2" s="8"/>
      <c r="R2" s="8"/>
      <c r="S2" s="8"/>
      <c r="T2" s="8"/>
      <c r="U2" s="8"/>
      <c r="V2" s="8"/>
      <c r="W2" s="8"/>
      <c r="X2" s="8"/>
      <c r="Y2" s="8"/>
      <c r="Z2" s="8"/>
    </row>
    <row r="3">
      <c r="A3" s="59" t="s">
        <v>155</v>
      </c>
      <c r="B3" s="61" t="s">
        <v>156</v>
      </c>
      <c r="C3" s="61" t="s">
        <v>157</v>
      </c>
      <c r="E3" s="8"/>
      <c r="F3" s="8"/>
      <c r="G3" s="8"/>
      <c r="H3" s="8"/>
      <c r="I3" s="8"/>
      <c r="J3" s="8"/>
      <c r="K3" s="8"/>
      <c r="L3" s="8"/>
      <c r="M3" s="8"/>
      <c r="N3" s="8"/>
      <c r="O3" s="8"/>
      <c r="P3" s="8"/>
      <c r="Q3" s="8"/>
      <c r="R3" s="8"/>
      <c r="S3" s="8"/>
      <c r="T3" s="8"/>
      <c r="U3" s="8"/>
      <c r="V3" s="8"/>
      <c r="W3" s="8"/>
      <c r="X3" s="8"/>
      <c r="Y3" s="8"/>
      <c r="Z3" s="8"/>
    </row>
    <row r="4">
      <c r="A4" s="8"/>
      <c r="B4" s="60"/>
      <c r="C4" s="60"/>
      <c r="D4" s="60"/>
      <c r="E4" s="60"/>
      <c r="F4" s="60"/>
      <c r="G4" s="60"/>
      <c r="H4" s="60"/>
      <c r="I4" s="60"/>
      <c r="J4" s="60"/>
      <c r="K4" s="60"/>
      <c r="L4" s="60"/>
      <c r="M4" s="60"/>
      <c r="N4" s="60"/>
      <c r="O4" s="60"/>
      <c r="P4" s="60"/>
      <c r="Q4" s="60"/>
      <c r="R4" s="60"/>
      <c r="S4" s="60"/>
      <c r="T4" s="60"/>
      <c r="U4" s="60"/>
      <c r="V4" s="60"/>
      <c r="W4" s="60"/>
      <c r="X4" s="60"/>
      <c r="Y4" s="60"/>
      <c r="Z4" s="60"/>
    </row>
    <row r="5">
      <c r="A5" s="8"/>
      <c r="B5" s="60"/>
      <c r="C5" s="60"/>
      <c r="D5" s="60"/>
      <c r="E5" s="60"/>
      <c r="F5" s="60"/>
      <c r="G5" s="60"/>
      <c r="H5" s="60"/>
      <c r="I5" s="60"/>
      <c r="J5" s="60"/>
      <c r="K5" s="60"/>
      <c r="L5" s="60"/>
      <c r="M5" s="60"/>
      <c r="N5" s="60"/>
      <c r="O5" s="60"/>
      <c r="P5" s="60"/>
      <c r="Q5" s="60"/>
      <c r="R5" s="60"/>
      <c r="S5" s="60"/>
      <c r="T5" s="60"/>
      <c r="U5" s="60"/>
      <c r="V5" s="60"/>
      <c r="W5" s="60"/>
      <c r="X5" s="60"/>
      <c r="Y5" s="60"/>
      <c r="Z5" s="60"/>
    </row>
    <row r="6">
      <c r="A6" s="61"/>
      <c r="B6" s="60"/>
      <c r="C6" s="60"/>
      <c r="D6" s="60"/>
      <c r="E6" s="60"/>
      <c r="F6" s="60"/>
      <c r="G6" s="60"/>
      <c r="H6" s="60"/>
      <c r="I6" s="60"/>
      <c r="J6" s="60"/>
      <c r="K6" s="60"/>
      <c r="L6" s="60"/>
      <c r="M6" s="60"/>
      <c r="N6" s="60"/>
      <c r="O6" s="60"/>
      <c r="P6" s="60"/>
      <c r="Q6" s="60"/>
      <c r="R6" s="60"/>
      <c r="S6" s="60"/>
      <c r="T6" s="60"/>
      <c r="U6" s="60"/>
      <c r="V6" s="60"/>
      <c r="W6" s="60"/>
      <c r="X6" s="60"/>
      <c r="Y6" s="60"/>
      <c r="Z6" s="60"/>
    </row>
    <row r="7">
      <c r="A7" s="59" t="s">
        <v>158</v>
      </c>
      <c r="B7" s="60"/>
      <c r="C7" s="60"/>
      <c r="D7" s="60"/>
      <c r="E7" s="60"/>
      <c r="F7" s="60"/>
      <c r="G7" s="60"/>
      <c r="H7" s="60"/>
      <c r="I7" s="60"/>
      <c r="J7" s="60"/>
      <c r="K7" s="60"/>
      <c r="L7" s="60"/>
      <c r="M7" s="60"/>
      <c r="N7" s="60"/>
      <c r="O7" s="60"/>
      <c r="P7" s="60"/>
      <c r="Q7" s="60"/>
      <c r="R7" s="60"/>
      <c r="S7" s="60"/>
      <c r="T7" s="60"/>
      <c r="U7" s="60"/>
      <c r="V7" s="60"/>
      <c r="W7" s="60"/>
      <c r="X7" s="60"/>
      <c r="Y7" s="60"/>
      <c r="Z7" s="60"/>
    </row>
    <row r="8">
      <c r="A8" s="61" t="s">
        <v>159</v>
      </c>
      <c r="B8" s="61" t="s">
        <v>160</v>
      </c>
      <c r="C8" s="62" t="s">
        <v>161</v>
      </c>
      <c r="D8" s="60"/>
      <c r="E8" s="60"/>
      <c r="F8" s="60"/>
      <c r="G8" s="60"/>
      <c r="H8" s="60"/>
      <c r="I8" s="60"/>
      <c r="J8" s="60"/>
      <c r="K8" s="60"/>
      <c r="L8" s="60"/>
      <c r="M8" s="60"/>
      <c r="N8" s="60"/>
      <c r="O8" s="60"/>
      <c r="P8" s="60"/>
      <c r="Q8" s="60"/>
      <c r="R8" s="60"/>
      <c r="S8" s="60"/>
      <c r="T8" s="60"/>
      <c r="U8" s="60"/>
      <c r="V8" s="60"/>
      <c r="W8" s="60"/>
      <c r="X8" s="60"/>
      <c r="Y8" s="60"/>
      <c r="Z8" s="60"/>
    </row>
    <row r="9" ht="17.25" customHeight="1">
      <c r="A9" s="61" t="s">
        <v>162</v>
      </c>
      <c r="B9" s="60"/>
      <c r="C9" s="60"/>
      <c r="D9" s="60"/>
      <c r="E9" s="60"/>
      <c r="F9" s="60"/>
      <c r="G9" s="60"/>
      <c r="H9" s="60"/>
      <c r="I9" s="60"/>
      <c r="J9" s="60"/>
      <c r="K9" s="60"/>
      <c r="L9" s="60"/>
      <c r="M9" s="60"/>
      <c r="N9" s="60"/>
      <c r="O9" s="60"/>
      <c r="P9" s="60"/>
      <c r="Q9" s="60"/>
      <c r="R9" s="60"/>
      <c r="S9" s="60"/>
      <c r="T9" s="60"/>
      <c r="U9" s="60"/>
      <c r="V9" s="60"/>
      <c r="W9" s="60"/>
      <c r="X9" s="60"/>
      <c r="Y9" s="60"/>
      <c r="Z9" s="60"/>
    </row>
    <row r="10">
      <c r="A10" s="10" t="s">
        <v>163</v>
      </c>
      <c r="B10" s="60"/>
      <c r="C10" s="60"/>
      <c r="D10" s="60"/>
      <c r="E10" s="60"/>
      <c r="F10" s="60"/>
      <c r="G10" s="60"/>
      <c r="H10" s="60"/>
      <c r="I10" s="60"/>
      <c r="J10" s="60"/>
      <c r="K10" s="60"/>
      <c r="L10" s="60"/>
      <c r="M10" s="60"/>
      <c r="N10" s="60"/>
      <c r="O10" s="60"/>
      <c r="P10" s="60"/>
      <c r="Q10" s="60"/>
      <c r="R10" s="60"/>
      <c r="S10" s="60"/>
      <c r="T10" s="60"/>
      <c r="U10" s="60"/>
      <c r="V10" s="60"/>
      <c r="W10" s="60"/>
      <c r="X10" s="60"/>
      <c r="Y10" s="60"/>
      <c r="Z10" s="60"/>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60"/>
      <c r="C14" s="60"/>
      <c r="D14" s="60"/>
      <c r="E14" s="61"/>
      <c r="F14" s="60"/>
      <c r="G14" s="60"/>
      <c r="H14" s="60"/>
      <c r="I14" s="60"/>
      <c r="J14" s="60"/>
      <c r="K14" s="60"/>
      <c r="L14" s="60"/>
      <c r="M14" s="60"/>
      <c r="N14" s="60"/>
      <c r="O14" s="60"/>
      <c r="P14" s="60"/>
      <c r="Q14" s="60"/>
      <c r="R14" s="60"/>
      <c r="S14" s="60"/>
      <c r="T14" s="60"/>
      <c r="U14" s="60"/>
      <c r="V14" s="60"/>
      <c r="W14" s="60"/>
      <c r="X14" s="60"/>
      <c r="Y14" s="60"/>
      <c r="Z14" s="60"/>
    </row>
    <row r="15">
      <c r="A15" s="8"/>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c r="A16" s="8"/>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c r="A17" s="8"/>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sheetData>
  <hyperlinks>
    <hyperlink r:id="rId1" ref="C8"/>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18.88"/>
  </cols>
  <sheetData>
    <row r="1">
      <c r="A1" s="63" t="s">
        <v>155</v>
      </c>
      <c r="B1" s="64"/>
      <c r="C1" s="64"/>
      <c r="D1" s="64"/>
      <c r="E1" s="64"/>
      <c r="F1" s="64"/>
      <c r="G1" s="64"/>
      <c r="H1" s="64"/>
      <c r="I1" s="64"/>
      <c r="J1" s="64"/>
      <c r="K1" s="64"/>
      <c r="L1" s="64"/>
      <c r="M1" s="64"/>
      <c r="N1" s="64"/>
      <c r="O1" s="64"/>
      <c r="P1" s="64"/>
      <c r="Q1" s="64"/>
      <c r="R1" s="64"/>
      <c r="S1" s="64"/>
      <c r="T1" s="64"/>
      <c r="U1" s="64"/>
      <c r="V1" s="64"/>
      <c r="W1" s="64"/>
      <c r="X1" s="64"/>
      <c r="Y1" s="64"/>
      <c r="Z1" s="64"/>
    </row>
    <row r="2">
      <c r="A2" s="64"/>
      <c r="B2" s="64"/>
      <c r="C2" s="64"/>
      <c r="D2" s="64"/>
      <c r="E2" s="64"/>
      <c r="F2" s="64"/>
      <c r="G2" s="64"/>
      <c r="H2" s="64"/>
      <c r="I2" s="64"/>
      <c r="J2" s="64"/>
      <c r="K2" s="64"/>
      <c r="L2" s="64"/>
      <c r="M2" s="64"/>
      <c r="N2" s="64"/>
      <c r="O2" s="64"/>
      <c r="P2" s="64"/>
      <c r="Q2" s="64"/>
      <c r="R2" s="64"/>
      <c r="S2" s="64"/>
      <c r="T2" s="64"/>
      <c r="U2" s="64"/>
      <c r="V2" s="64"/>
      <c r="W2" s="64"/>
      <c r="X2" s="64"/>
      <c r="Y2" s="64"/>
      <c r="Z2" s="64"/>
    </row>
    <row r="3">
      <c r="A3" s="64"/>
      <c r="B3" s="64"/>
      <c r="C3" s="64"/>
      <c r="D3" s="64"/>
      <c r="E3" s="64"/>
      <c r="F3" s="64"/>
      <c r="G3" s="64"/>
      <c r="H3" s="64"/>
      <c r="I3" s="64"/>
      <c r="J3" s="64"/>
      <c r="K3" s="64"/>
      <c r="L3" s="64"/>
      <c r="M3" s="64"/>
      <c r="N3" s="64"/>
      <c r="O3" s="64"/>
      <c r="P3" s="64"/>
      <c r="Q3" s="64"/>
      <c r="R3" s="64"/>
      <c r="S3" s="64"/>
      <c r="T3" s="64"/>
      <c r="U3" s="64"/>
      <c r="V3" s="64"/>
      <c r="W3" s="64"/>
      <c r="X3" s="64"/>
      <c r="Y3" s="64"/>
      <c r="Z3" s="64"/>
    </row>
    <row r="4">
      <c r="A4" s="64"/>
      <c r="B4" s="64"/>
      <c r="C4" s="64"/>
      <c r="D4" s="64"/>
      <c r="E4" s="64"/>
      <c r="F4" s="64"/>
      <c r="G4" s="64"/>
      <c r="H4" s="64"/>
      <c r="I4" s="64"/>
      <c r="J4" s="64"/>
      <c r="K4" s="64"/>
      <c r="L4" s="64"/>
      <c r="M4" s="64"/>
      <c r="N4" s="64"/>
      <c r="O4" s="64"/>
      <c r="P4" s="64"/>
      <c r="Q4" s="64"/>
      <c r="R4" s="64"/>
      <c r="S4" s="64"/>
      <c r="T4" s="64"/>
      <c r="U4" s="64"/>
      <c r="V4" s="64"/>
      <c r="W4" s="64"/>
      <c r="X4" s="64"/>
      <c r="Y4" s="64"/>
      <c r="Z4" s="64"/>
    </row>
    <row r="5">
      <c r="A5" s="64"/>
      <c r="B5" s="64"/>
      <c r="C5" s="64"/>
      <c r="D5" s="64"/>
      <c r="E5" s="64"/>
      <c r="F5" s="64"/>
      <c r="G5" s="64"/>
      <c r="H5" s="64"/>
      <c r="I5" s="64"/>
      <c r="J5" s="64"/>
      <c r="K5" s="64"/>
      <c r="L5" s="64"/>
      <c r="M5" s="64"/>
      <c r="N5" s="64"/>
      <c r="O5" s="64"/>
      <c r="P5" s="64"/>
      <c r="Q5" s="64"/>
      <c r="R5" s="64"/>
      <c r="S5" s="64"/>
      <c r="T5" s="64"/>
      <c r="U5" s="64"/>
      <c r="V5" s="64"/>
      <c r="W5" s="64"/>
      <c r="X5" s="64"/>
      <c r="Y5" s="64"/>
      <c r="Z5" s="64"/>
    </row>
    <row r="6">
      <c r="A6" s="64"/>
      <c r="B6" s="64"/>
      <c r="C6" s="64"/>
      <c r="D6" s="64"/>
      <c r="E6" s="64"/>
      <c r="F6" s="64"/>
      <c r="G6" s="64"/>
      <c r="H6" s="64"/>
      <c r="I6" s="64"/>
      <c r="J6" s="64"/>
      <c r="K6" s="64"/>
      <c r="L6" s="64"/>
      <c r="M6" s="64"/>
      <c r="N6" s="64"/>
      <c r="O6" s="64"/>
      <c r="P6" s="64"/>
      <c r="Q6" s="64"/>
      <c r="R6" s="64"/>
      <c r="S6" s="64"/>
      <c r="T6" s="64"/>
      <c r="U6" s="64"/>
      <c r="V6" s="64"/>
      <c r="W6" s="64"/>
      <c r="X6" s="64"/>
      <c r="Y6" s="64"/>
      <c r="Z6" s="64"/>
    </row>
    <row r="7">
      <c r="A7" s="64"/>
      <c r="B7" s="64"/>
      <c r="C7" s="64"/>
      <c r="D7" s="64"/>
      <c r="E7" s="64"/>
      <c r="F7" s="64"/>
      <c r="G7" s="64"/>
      <c r="H7" s="64"/>
      <c r="I7" s="64"/>
      <c r="J7" s="64"/>
      <c r="K7" s="64"/>
      <c r="L7" s="64"/>
      <c r="M7" s="64"/>
      <c r="N7" s="64"/>
      <c r="O7" s="64"/>
      <c r="P7" s="64"/>
      <c r="Q7" s="64"/>
      <c r="R7" s="64"/>
      <c r="S7" s="64"/>
      <c r="T7" s="64"/>
      <c r="U7" s="64"/>
      <c r="V7" s="64"/>
      <c r="W7" s="64"/>
      <c r="X7" s="64"/>
      <c r="Y7" s="64"/>
      <c r="Z7" s="64"/>
    </row>
    <row r="8">
      <c r="A8" s="64"/>
      <c r="B8" s="64"/>
      <c r="C8" s="64"/>
      <c r="D8" s="64"/>
      <c r="E8" s="64"/>
      <c r="F8" s="64"/>
      <c r="G8" s="64"/>
      <c r="H8" s="64"/>
      <c r="I8" s="64"/>
      <c r="J8" s="64"/>
      <c r="K8" s="64"/>
      <c r="L8" s="64"/>
      <c r="M8" s="64"/>
      <c r="N8" s="64"/>
      <c r="O8" s="64"/>
      <c r="P8" s="64"/>
      <c r="Q8" s="64"/>
      <c r="R8" s="64"/>
      <c r="S8" s="64"/>
      <c r="T8" s="64"/>
      <c r="U8" s="64"/>
      <c r="V8" s="64"/>
      <c r="W8" s="64"/>
      <c r="X8" s="64"/>
      <c r="Y8" s="64"/>
      <c r="Z8" s="64"/>
    </row>
    <row r="9">
      <c r="A9" s="64"/>
      <c r="B9" s="64"/>
      <c r="C9" s="64"/>
      <c r="D9" s="64"/>
      <c r="E9" s="64"/>
      <c r="F9" s="64"/>
      <c r="G9" s="64"/>
      <c r="H9" s="64"/>
      <c r="I9" s="64"/>
      <c r="J9" s="64"/>
      <c r="K9" s="64"/>
      <c r="L9" s="64"/>
      <c r="M9" s="64"/>
      <c r="N9" s="64"/>
      <c r="O9" s="64"/>
      <c r="P9" s="64"/>
      <c r="Q9" s="64"/>
      <c r="R9" s="64"/>
      <c r="S9" s="64"/>
      <c r="T9" s="64"/>
      <c r="U9" s="64"/>
      <c r="V9" s="64"/>
      <c r="W9" s="64"/>
      <c r="X9" s="64"/>
      <c r="Y9" s="64"/>
      <c r="Z9" s="64"/>
    </row>
    <row r="10">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row>
    <row r="11">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row>
    <row r="12">
      <c r="A12" s="63" t="s">
        <v>164</v>
      </c>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c r="A13" s="65" t="s">
        <v>165</v>
      </c>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c r="A14" s="65" t="s">
        <v>166</v>
      </c>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c r="A15" s="65" t="s">
        <v>167</v>
      </c>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c r="A16" s="65" t="s">
        <v>168</v>
      </c>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c r="A17" s="65" t="s">
        <v>169</v>
      </c>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c r="A18" s="65" t="s">
        <v>170</v>
      </c>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c r="A19" s="65" t="s">
        <v>171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c r="A20" s="65" t="s">
        <v>172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c r="A21" s="65" t="s">
        <v>173</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c r="A22" s="65" t="s">
        <v>174</v>
      </c>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c r="A23" s="65" t="s">
        <v>175</v>
      </c>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c r="A24" s="65" t="s">
        <v>176</v>
      </c>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c r="A25" s="65" t="s">
        <v>177</v>
      </c>
      <c r="B25" s="65" t="s">
        <v>178</v>
      </c>
      <c r="C25" s="64"/>
      <c r="D25" s="64"/>
      <c r="E25" s="64"/>
      <c r="F25" s="64"/>
      <c r="G25" s="64"/>
      <c r="H25" s="64"/>
      <c r="I25" s="64"/>
      <c r="J25" s="64"/>
      <c r="K25" s="64"/>
      <c r="L25" s="64"/>
      <c r="M25" s="64"/>
      <c r="N25" s="64"/>
      <c r="O25" s="64"/>
      <c r="P25" s="64"/>
      <c r="Q25" s="64"/>
      <c r="R25" s="64"/>
      <c r="S25" s="64"/>
      <c r="T25" s="64"/>
      <c r="U25" s="64"/>
      <c r="V25" s="64"/>
      <c r="W25" s="64"/>
      <c r="X25" s="64"/>
      <c r="Y25" s="64"/>
      <c r="Z25" s="64"/>
    </row>
    <row r="26">
      <c r="A26" s="65" t="s">
        <v>179</v>
      </c>
      <c r="B26" s="65" t="s">
        <v>180</v>
      </c>
      <c r="C26" s="64"/>
      <c r="D26" s="64"/>
      <c r="E26" s="64"/>
      <c r="F26" s="64"/>
      <c r="G26" s="64"/>
      <c r="H26" s="64"/>
      <c r="I26" s="64"/>
      <c r="J26" s="64"/>
      <c r="K26" s="64"/>
      <c r="L26" s="64"/>
      <c r="M26" s="64"/>
      <c r="N26" s="64"/>
      <c r="O26" s="64"/>
      <c r="P26" s="64"/>
      <c r="Q26" s="64"/>
      <c r="R26" s="64"/>
      <c r="S26" s="64"/>
      <c r="T26" s="64"/>
      <c r="U26" s="64"/>
      <c r="V26" s="64"/>
      <c r="W26" s="64"/>
      <c r="X26" s="64"/>
      <c r="Y26" s="64"/>
      <c r="Z26" s="64"/>
    </row>
    <row r="27">
      <c r="A27" s="65" t="s">
        <v>181</v>
      </c>
      <c r="B27" s="65"/>
      <c r="C27" s="64"/>
      <c r="D27" s="64"/>
      <c r="E27" s="64"/>
      <c r="F27" s="64"/>
      <c r="G27" s="64"/>
      <c r="H27" s="64"/>
      <c r="I27" s="64"/>
      <c r="J27" s="64"/>
      <c r="K27" s="64"/>
      <c r="L27" s="64"/>
      <c r="M27" s="64"/>
      <c r="N27" s="64"/>
      <c r="O27" s="64"/>
      <c r="P27" s="64"/>
      <c r="Q27" s="64"/>
      <c r="R27" s="64"/>
      <c r="S27" s="64"/>
      <c r="T27" s="64"/>
      <c r="U27" s="64"/>
      <c r="V27" s="64"/>
      <c r="W27" s="64"/>
      <c r="X27" s="64"/>
      <c r="Y27" s="64"/>
      <c r="Z27" s="64"/>
    </row>
    <row r="28">
      <c r="A28" s="65" t="s">
        <v>182</v>
      </c>
      <c r="B28" s="65"/>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65" t="s">
        <v>183</v>
      </c>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c r="A30" s="63" t="s">
        <v>184</v>
      </c>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c r="A31" s="65" t="s">
        <v>185</v>
      </c>
      <c r="B31" s="65" t="s">
        <v>186</v>
      </c>
      <c r="C31" s="64"/>
      <c r="D31" s="64"/>
      <c r="E31" s="64"/>
      <c r="F31" s="64"/>
      <c r="G31" s="64"/>
      <c r="H31" s="64"/>
      <c r="I31" s="64"/>
      <c r="J31" s="64"/>
      <c r="K31" s="64"/>
      <c r="L31" s="64"/>
      <c r="M31" s="64"/>
      <c r="N31" s="64"/>
      <c r="O31" s="64"/>
      <c r="P31" s="64"/>
      <c r="Q31" s="64"/>
      <c r="R31" s="64"/>
      <c r="S31" s="64"/>
      <c r="T31" s="64"/>
      <c r="U31" s="64"/>
      <c r="V31" s="64"/>
      <c r="W31" s="64"/>
      <c r="X31" s="64"/>
      <c r="Y31" s="64"/>
      <c r="Z31" s="64"/>
    </row>
    <row r="32">
      <c r="A32" s="65" t="s">
        <v>187</v>
      </c>
      <c r="B32" s="65" t="s">
        <v>188</v>
      </c>
      <c r="C32" s="64"/>
      <c r="D32" s="64"/>
      <c r="E32" s="64"/>
      <c r="F32" s="64"/>
      <c r="G32" s="64"/>
      <c r="H32" s="64"/>
      <c r="I32" s="64"/>
      <c r="J32" s="64"/>
      <c r="K32" s="64"/>
      <c r="L32" s="64"/>
      <c r="M32" s="64"/>
      <c r="N32" s="64"/>
      <c r="O32" s="64"/>
      <c r="P32" s="64"/>
      <c r="Q32" s="64"/>
      <c r="R32" s="64"/>
      <c r="S32" s="64"/>
      <c r="T32" s="64"/>
      <c r="U32" s="64"/>
      <c r="V32" s="64"/>
      <c r="W32" s="64"/>
      <c r="X32" s="64"/>
      <c r="Y32" s="64"/>
      <c r="Z32" s="64"/>
    </row>
    <row r="33">
      <c r="A33" s="65" t="s">
        <v>189</v>
      </c>
      <c r="B33" s="65" t="s">
        <v>190</v>
      </c>
      <c r="C33" s="64"/>
      <c r="D33" s="64"/>
      <c r="E33" s="64"/>
      <c r="F33" s="64"/>
      <c r="G33" s="64"/>
      <c r="H33" s="64"/>
      <c r="I33" s="64"/>
      <c r="J33" s="64"/>
      <c r="K33" s="64"/>
      <c r="L33" s="64"/>
      <c r="M33" s="64"/>
      <c r="N33" s="64"/>
      <c r="O33" s="64"/>
      <c r="P33" s="64"/>
      <c r="Q33" s="64"/>
      <c r="R33" s="64"/>
      <c r="S33" s="64"/>
      <c r="T33" s="64"/>
      <c r="U33" s="64"/>
      <c r="V33" s="64"/>
      <c r="W33" s="64"/>
      <c r="X33" s="64"/>
      <c r="Y33" s="64"/>
      <c r="Z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c r="A37" s="66" t="s">
        <v>191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row r="1002">
      <c r="A1002" s="64"/>
      <c r="B1002" s="64"/>
      <c r="C1002" s="64"/>
      <c r="D1002" s="64"/>
      <c r="E1002" s="64"/>
      <c r="F1002" s="64"/>
      <c r="G1002" s="64"/>
      <c r="H1002" s="64"/>
      <c r="I1002" s="64"/>
      <c r="J1002" s="64"/>
      <c r="K1002" s="64"/>
      <c r="L1002" s="64"/>
      <c r="M1002" s="64"/>
      <c r="N1002" s="64"/>
      <c r="O1002" s="64"/>
      <c r="P1002" s="64"/>
      <c r="Q1002" s="64"/>
      <c r="R1002" s="64"/>
      <c r="S1002" s="64"/>
      <c r="T1002" s="64"/>
      <c r="U1002" s="64"/>
      <c r="V1002" s="64"/>
      <c r="W1002" s="64"/>
      <c r="X1002" s="64"/>
      <c r="Y1002" s="64"/>
      <c r="Z1002" s="64"/>
    </row>
    <row r="1003">
      <c r="A1003" s="64"/>
      <c r="B1003" s="64"/>
      <c r="C1003" s="64"/>
      <c r="D1003" s="64"/>
      <c r="E1003" s="64"/>
      <c r="F1003" s="64"/>
      <c r="G1003" s="64"/>
      <c r="H1003" s="64"/>
      <c r="I1003" s="64"/>
      <c r="J1003" s="64"/>
      <c r="K1003" s="64"/>
      <c r="L1003" s="64"/>
      <c r="M1003" s="64"/>
      <c r="N1003" s="64"/>
      <c r="O1003" s="64"/>
      <c r="P1003" s="64"/>
      <c r="Q1003" s="64"/>
      <c r="R1003" s="64"/>
      <c r="S1003" s="64"/>
      <c r="T1003" s="64"/>
      <c r="U1003" s="64"/>
      <c r="V1003" s="64"/>
      <c r="W1003" s="64"/>
      <c r="X1003" s="64"/>
      <c r="Y1003" s="64"/>
      <c r="Z1003" s="64"/>
    </row>
    <row r="1004">
      <c r="A1004" s="64"/>
      <c r="B1004" s="64"/>
      <c r="C1004" s="64"/>
      <c r="D1004" s="64"/>
      <c r="E1004" s="64"/>
      <c r="F1004" s="64"/>
      <c r="G1004" s="64"/>
      <c r="H1004" s="64"/>
      <c r="I1004" s="64"/>
      <c r="J1004" s="64"/>
      <c r="K1004" s="64"/>
      <c r="L1004" s="64"/>
      <c r="M1004" s="64"/>
      <c r="N1004" s="64"/>
      <c r="O1004" s="64"/>
      <c r="P1004" s="64"/>
      <c r="Q1004" s="64"/>
      <c r="R1004" s="64"/>
      <c r="S1004" s="64"/>
      <c r="T1004" s="64"/>
      <c r="U1004" s="64"/>
      <c r="V1004" s="64"/>
      <c r="W1004" s="64"/>
      <c r="X1004" s="64"/>
      <c r="Y1004" s="64"/>
      <c r="Z1004" s="64"/>
    </row>
    <row r="1005">
      <c r="A1005" s="64"/>
      <c r="B1005" s="64"/>
      <c r="C1005" s="64"/>
      <c r="D1005" s="64"/>
      <c r="E1005" s="64"/>
      <c r="F1005" s="64"/>
      <c r="G1005" s="64"/>
      <c r="H1005" s="64"/>
      <c r="I1005" s="64"/>
      <c r="J1005" s="64"/>
      <c r="K1005" s="64"/>
      <c r="L1005" s="64"/>
      <c r="M1005" s="64"/>
      <c r="N1005" s="64"/>
      <c r="O1005" s="64"/>
      <c r="P1005" s="64"/>
      <c r="Q1005" s="64"/>
      <c r="R1005" s="64"/>
      <c r="S1005" s="64"/>
      <c r="T1005" s="64"/>
      <c r="U1005" s="64"/>
      <c r="V1005" s="64"/>
      <c r="W1005" s="64"/>
      <c r="X1005" s="64"/>
      <c r="Y1005" s="64"/>
      <c r="Z1005" s="64"/>
    </row>
    <row r="1006">
      <c r="A1006" s="64"/>
      <c r="B1006" s="64"/>
      <c r="C1006" s="64"/>
      <c r="D1006" s="64"/>
      <c r="E1006" s="64"/>
      <c r="F1006" s="64"/>
      <c r="G1006" s="64"/>
      <c r="H1006" s="64"/>
      <c r="I1006" s="64"/>
      <c r="J1006" s="64"/>
      <c r="K1006" s="64"/>
      <c r="L1006" s="64"/>
      <c r="M1006" s="64"/>
      <c r="N1006" s="64"/>
      <c r="O1006" s="64"/>
      <c r="P1006" s="64"/>
      <c r="Q1006" s="64"/>
      <c r="R1006" s="64"/>
      <c r="S1006" s="64"/>
      <c r="T1006" s="64"/>
      <c r="U1006" s="64"/>
      <c r="V1006" s="64"/>
      <c r="W1006" s="64"/>
      <c r="X1006" s="64"/>
      <c r="Y1006" s="64"/>
      <c r="Z1006" s="64"/>
    </row>
    <row r="1007">
      <c r="A1007" s="64"/>
      <c r="B1007" s="64"/>
      <c r="C1007" s="64"/>
      <c r="D1007" s="64"/>
      <c r="E1007" s="64"/>
      <c r="F1007" s="64"/>
      <c r="G1007" s="64"/>
      <c r="H1007" s="64"/>
      <c r="I1007" s="64"/>
      <c r="J1007" s="64"/>
      <c r="K1007" s="64"/>
      <c r="L1007" s="64"/>
      <c r="M1007" s="64"/>
      <c r="N1007" s="64"/>
      <c r="O1007" s="64"/>
      <c r="P1007" s="64"/>
      <c r="Q1007" s="64"/>
      <c r="R1007" s="64"/>
      <c r="S1007" s="64"/>
      <c r="T1007" s="64"/>
      <c r="U1007" s="64"/>
      <c r="V1007" s="64"/>
      <c r="W1007" s="64"/>
      <c r="X1007" s="64"/>
      <c r="Y1007" s="64"/>
      <c r="Z1007" s="64"/>
    </row>
    <row r="1008">
      <c r="A1008" s="64"/>
      <c r="B1008" s="64"/>
      <c r="C1008" s="64"/>
      <c r="D1008" s="64"/>
      <c r="E1008" s="64"/>
      <c r="F1008" s="64"/>
      <c r="G1008" s="64"/>
      <c r="H1008" s="64"/>
      <c r="I1008" s="64"/>
      <c r="J1008" s="64"/>
      <c r="K1008" s="64"/>
      <c r="L1008" s="64"/>
      <c r="M1008" s="64"/>
      <c r="N1008" s="64"/>
      <c r="O1008" s="64"/>
      <c r="P1008" s="64"/>
      <c r="Q1008" s="64"/>
      <c r="R1008" s="64"/>
      <c r="S1008" s="64"/>
      <c r="T1008" s="64"/>
      <c r="U1008" s="64"/>
      <c r="V1008" s="64"/>
      <c r="W1008" s="64"/>
      <c r="X1008" s="64"/>
      <c r="Y1008" s="64"/>
      <c r="Z1008" s="64"/>
    </row>
    <row r="1009">
      <c r="A1009" s="64"/>
      <c r="B1009" s="64"/>
      <c r="C1009" s="64"/>
      <c r="D1009" s="64"/>
      <c r="E1009" s="64"/>
      <c r="F1009" s="64"/>
      <c r="G1009" s="64"/>
      <c r="H1009" s="64"/>
      <c r="I1009" s="64"/>
      <c r="J1009" s="64"/>
      <c r="K1009" s="64"/>
      <c r="L1009" s="64"/>
      <c r="M1009" s="64"/>
      <c r="N1009" s="64"/>
      <c r="O1009" s="64"/>
      <c r="P1009" s="64"/>
      <c r="Q1009" s="64"/>
      <c r="R1009" s="64"/>
      <c r="S1009" s="64"/>
      <c r="T1009" s="64"/>
      <c r="U1009" s="64"/>
      <c r="V1009" s="64"/>
      <c r="W1009" s="64"/>
      <c r="X1009" s="64"/>
      <c r="Y1009" s="64"/>
      <c r="Z1009" s="64"/>
    </row>
    <row r="1010">
      <c r="A1010" s="64"/>
      <c r="B1010" s="64"/>
      <c r="C1010" s="64"/>
      <c r="D1010" s="64"/>
      <c r="E1010" s="64"/>
      <c r="F1010" s="64"/>
      <c r="G1010" s="64"/>
      <c r="H1010" s="64"/>
      <c r="I1010" s="64"/>
      <c r="J1010" s="64"/>
      <c r="K1010" s="64"/>
      <c r="L1010" s="64"/>
      <c r="M1010" s="64"/>
      <c r="N1010" s="64"/>
      <c r="O1010" s="64"/>
      <c r="P1010" s="64"/>
      <c r="Q1010" s="64"/>
      <c r="R1010" s="64"/>
      <c r="S1010" s="64"/>
      <c r="T1010" s="64"/>
      <c r="U1010" s="64"/>
      <c r="V1010" s="64"/>
      <c r="W1010" s="64"/>
      <c r="X1010" s="64"/>
      <c r="Y1010" s="64"/>
      <c r="Z1010" s="64"/>
    </row>
    <row r="1011">
      <c r="A1011" s="64"/>
      <c r="B1011" s="64"/>
      <c r="C1011" s="64"/>
      <c r="D1011" s="64"/>
      <c r="E1011" s="64"/>
      <c r="F1011" s="64"/>
      <c r="G1011" s="64"/>
      <c r="H1011" s="64"/>
      <c r="I1011" s="64"/>
      <c r="J1011" s="64"/>
      <c r="K1011" s="64"/>
      <c r="L1011" s="64"/>
      <c r="M1011" s="64"/>
      <c r="N1011" s="64"/>
      <c r="O1011" s="64"/>
      <c r="P1011" s="64"/>
      <c r="Q1011" s="64"/>
      <c r="R1011" s="64"/>
      <c r="S1011" s="64"/>
      <c r="T1011" s="64"/>
      <c r="U1011" s="64"/>
      <c r="V1011" s="64"/>
      <c r="W1011" s="64"/>
      <c r="X1011" s="64"/>
      <c r="Y1011" s="64"/>
      <c r="Z1011" s="64"/>
    </row>
    <row r="1012">
      <c r="A1012" s="64"/>
      <c r="B1012" s="64"/>
      <c r="C1012" s="64"/>
      <c r="D1012" s="64"/>
      <c r="E1012" s="64"/>
      <c r="F1012" s="64"/>
      <c r="G1012" s="64"/>
      <c r="H1012" s="64"/>
      <c r="I1012" s="64"/>
      <c r="J1012" s="64"/>
      <c r="K1012" s="64"/>
      <c r="L1012" s="64"/>
      <c r="M1012" s="64"/>
      <c r="N1012" s="64"/>
      <c r="O1012" s="64"/>
      <c r="P1012" s="64"/>
      <c r="Q1012" s="64"/>
      <c r="R1012" s="64"/>
      <c r="S1012" s="64"/>
      <c r="T1012" s="64"/>
      <c r="U1012" s="64"/>
      <c r="V1012" s="64"/>
      <c r="W1012" s="64"/>
      <c r="X1012" s="64"/>
      <c r="Y1012" s="64"/>
      <c r="Z1012" s="64"/>
    </row>
    <row r="1013">
      <c r="A1013" s="64"/>
      <c r="B1013" s="64"/>
      <c r="C1013" s="64"/>
      <c r="D1013" s="64"/>
      <c r="E1013" s="64"/>
      <c r="F1013" s="64"/>
      <c r="G1013" s="64"/>
      <c r="H1013" s="64"/>
      <c r="I1013" s="64"/>
      <c r="J1013" s="64"/>
      <c r="K1013" s="64"/>
      <c r="L1013" s="64"/>
      <c r="M1013" s="64"/>
      <c r="N1013" s="64"/>
      <c r="O1013" s="64"/>
      <c r="P1013" s="64"/>
      <c r="Q1013" s="64"/>
      <c r="R1013" s="64"/>
      <c r="S1013" s="64"/>
      <c r="T1013" s="64"/>
      <c r="U1013" s="64"/>
      <c r="V1013" s="64"/>
      <c r="W1013" s="64"/>
      <c r="X1013" s="64"/>
      <c r="Y1013" s="64"/>
      <c r="Z1013" s="64"/>
    </row>
    <row r="1014">
      <c r="A1014" s="64"/>
      <c r="B1014" s="64"/>
      <c r="C1014" s="64"/>
      <c r="D1014" s="64"/>
      <c r="E1014" s="64"/>
      <c r="F1014" s="64"/>
      <c r="G1014" s="64"/>
      <c r="H1014" s="64"/>
      <c r="I1014" s="64"/>
      <c r="J1014" s="64"/>
      <c r="K1014" s="64"/>
      <c r="L1014" s="64"/>
      <c r="M1014" s="64"/>
      <c r="N1014" s="64"/>
      <c r="O1014" s="64"/>
      <c r="P1014" s="64"/>
      <c r="Q1014" s="64"/>
      <c r="R1014" s="64"/>
      <c r="S1014" s="64"/>
      <c r="T1014" s="64"/>
      <c r="U1014" s="64"/>
      <c r="V1014" s="64"/>
      <c r="W1014" s="64"/>
      <c r="X1014" s="64"/>
      <c r="Y1014" s="64"/>
      <c r="Z1014" s="64"/>
    </row>
    <row r="1015">
      <c r="A1015" s="64"/>
      <c r="B1015" s="64"/>
      <c r="C1015" s="64"/>
      <c r="D1015" s="64"/>
      <c r="E1015" s="64"/>
      <c r="F1015" s="64"/>
      <c r="G1015" s="64"/>
      <c r="H1015" s="64"/>
      <c r="I1015" s="64"/>
      <c r="J1015" s="64"/>
      <c r="K1015" s="64"/>
      <c r="L1015" s="64"/>
      <c r="M1015" s="64"/>
      <c r="N1015" s="64"/>
      <c r="O1015" s="64"/>
      <c r="P1015" s="64"/>
      <c r="Q1015" s="64"/>
      <c r="R1015" s="64"/>
      <c r="S1015" s="64"/>
      <c r="T1015" s="64"/>
      <c r="U1015" s="64"/>
      <c r="V1015" s="64"/>
      <c r="W1015" s="64"/>
      <c r="X1015" s="64"/>
      <c r="Y1015" s="64"/>
      <c r="Z1015" s="64"/>
    </row>
  </sheetData>
  <hyperlinks>
    <hyperlink r:id="rId1" ref="A37"/>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 t="s">
        <v>192</v>
      </c>
      <c r="B1" s="44"/>
    </row>
    <row r="2">
      <c r="A2" s="67">
        <f>(287+340)/2</f>
        <v>313.5</v>
      </c>
      <c r="B2" s="44" t="s">
        <v>193</v>
      </c>
    </row>
    <row r="3">
      <c r="A3" s="67">
        <f>31.05/2</f>
        <v>15.525</v>
      </c>
      <c r="B3" s="44" t="s">
        <v>194</v>
      </c>
    </row>
    <row r="4">
      <c r="A4" s="67">
        <f>312.72/2</f>
        <v>156.36</v>
      </c>
      <c r="B4" s="44" t="s">
        <v>195</v>
      </c>
    </row>
    <row r="5">
      <c r="A5" s="67">
        <f>20+680.53+50+34.3+13.7</f>
        <v>798.53</v>
      </c>
      <c r="B5" s="44" t="s">
        <v>196</v>
      </c>
    </row>
    <row r="6">
      <c r="A6" s="67">
        <f>116/2</f>
        <v>58</v>
      </c>
      <c r="B6" s="44" t="s">
        <v>197</v>
      </c>
    </row>
  </sheetData>
  <drawing r:id="rId1"/>
</worksheet>
</file>